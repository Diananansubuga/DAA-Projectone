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" sheetId="1" r:id="rId5"/>
    <sheet state="visible" name="Sorting Data" sheetId="2" r:id="rId6"/>
    <sheet state="visible" name="Sorting Summary" sheetId="3" r:id="rId7"/>
    <sheet state="visible" name="Time vs Size" sheetId="4" r:id="rId8"/>
    <sheet state="visible" name="Search" sheetId="5" r:id="rId9"/>
    <sheet state="visible" name="OpenMP" sheetId="6" r:id="rId10"/>
  </sheets>
  <definedNames/>
  <calcPr/>
</workbook>
</file>

<file path=xl/sharedStrings.xml><?xml version="1.0" encoding="utf-8"?>
<sst xmlns="http://schemas.openxmlformats.org/spreadsheetml/2006/main" count="310" uniqueCount="101">
  <si>
    <t>Project 1: Large-Scale Evaluation of Modern Search and Sorting Algorithms</t>
  </si>
  <si>
    <t>Sorting results (program output)</t>
  </si>
  <si>
    <t>Item</t>
  </si>
  <si>
    <t>Algorithm</t>
  </si>
  <si>
    <t>Details</t>
  </si>
  <si>
    <t>Hardware</t>
  </si>
  <si>
    <t>Type</t>
  </si>
  <si>
    <t>Intel Core i7-12800H (6 performance + 8 efficiency cores, 20 threads)</t>
  </si>
  <si>
    <t>Dataset</t>
  </si>
  <si>
    <t>n</t>
  </si>
  <si>
    <t>Time (ms)</t>
  </si>
  <si>
    <t>Comparisons</t>
  </si>
  <si>
    <t>Max depth</t>
  </si>
  <si>
    <t>Operating system</t>
  </si>
  <si>
    <t>Windows</t>
  </si>
  <si>
    <t>Extra (MB)</t>
  </si>
  <si>
    <t>AlphaDev sort</t>
  </si>
  <si>
    <t>Compiler</t>
  </si>
  <si>
    <t>g++ (MSYS2), flags: -O2 -std=c++17 (OpenMP bonus adds -fopenmp)</t>
  </si>
  <si>
    <t>Modern</t>
  </si>
  <si>
    <t>Random</t>
  </si>
  <si>
    <t>Language</t>
  </si>
  <si>
    <t>C++</t>
  </si>
  <si>
    <t>PDQSort</t>
  </si>
  <si>
    <t>Sizes</t>
  </si>
  <si>
    <t>n = 1,000,000 and n = 100,000,000 integers</t>
  </si>
  <si>
    <t>n numbers from 0 to n-1, mt19937 seed 42</t>
  </si>
  <si>
    <t>TwinArray Sort</t>
  </si>
  <si>
    <t>Nearly sorted</t>
  </si>
  <si>
    <t>Merge sort</t>
  </si>
  <si>
    <t>Random numbers sorted, then 1% of positions swapped at random</t>
  </si>
  <si>
    <t>Classic</t>
  </si>
  <si>
    <t>Heap sort</t>
  </si>
  <si>
    <t>Reverse sorted</t>
  </si>
  <si>
    <t>Random numbers sorted largest to smallest</t>
  </si>
  <si>
    <t>QuickSort</t>
  </si>
  <si>
    <t>Duplicates</t>
  </si>
  <si>
    <t>n numbers from 0 to 999 (only 1,000 different values)</t>
  </si>
  <si>
    <t>Data storage</t>
  </si>
  <si>
    <t>All data generated in memory (no files); every algorithm sorts a copy of the same array</t>
  </si>
  <si>
    <t>Sorting time</t>
  </si>
  <si>
    <t>Average of 5 runs (1M) or 3 runs (100M), wall-clock time with std::chrono</t>
  </si>
  <si>
    <t>Counted in a separate run so counting does not slow the timed runs; identical on any computer</t>
  </si>
  <si>
    <t>Memory</t>
  </si>
  <si>
    <t>Max depth = deepest recursion (stack); Extra (MB) = extra heap arrays (merge sort temp, TwinArray arrays, M-way tree nodes)</t>
  </si>
  <si>
    <t>Search queries</t>
  </si>
  <si>
    <t>1000 random numbers (seed 7) searched in the sorted random dataset</t>
  </si>
  <si>
    <t>Search time</t>
  </si>
  <si>
    <t>Each query repeated 100 times (clock too coarse for one search), timed in 5 rounds, fastest round kept</t>
  </si>
  <si>
    <t>Correctness</t>
  </si>
  <si>
    <t>Every sort checked with is_sorted(); all 3 search algorithms found the same number of queries</t>
  </si>
  <si>
    <t>Skipped run</t>
  </si>
  <si>
    <t>QuickSort (Lomuto) on 100M duplicates: O(n^2) on many equal values, would take hours</t>
  </si>
  <si>
    <t>skipped</t>
  </si>
  <si>
    <t>O(n^2) on duplicates, would take hours</t>
  </si>
  <si>
    <t>Time vs dataset size, random data (formulas)</t>
  </si>
  <si>
    <t>1,000,000</t>
  </si>
  <si>
    <t>100,000,000</t>
  </si>
  <si>
    <t>Y axis is logarithmic so 1M and 100M fit on one chart.</t>
  </si>
  <si>
    <t>Sorting summary (all values are formulas reading 'Sorting Data')</t>
  </si>
  <si>
    <t>Time (ms), n = 1,000,000</t>
  </si>
  <si>
    <t>Search results: 1000 random queries on the sorted random data</t>
  </si>
  <si>
    <t>Avg time (ns)</t>
  </si>
  <si>
    <t>Worst time (ns)</t>
  </si>
  <si>
    <t>Avg comparisons</t>
  </si>
  <si>
    <t>Worst comparisons</t>
  </si>
  <si>
    <t>Extra memory (MB)</t>
  </si>
  <si>
    <t>Found</t>
  </si>
  <si>
    <t>Binary search</t>
  </si>
  <si>
    <t>Exponential search</t>
  </si>
  <si>
    <t>M-way tree (M=10)</t>
  </si>
  <si>
    <t>M-way tree build: 12,351 nodes in 1.39 ms (1M); 1,234,575 nodes in 152.91 ms (100M). Build is done once and not included in search times.</t>
  </si>
  <si>
    <t>Avg ns, 1M</t>
  </si>
  <si>
    <t>Avg ns, 100M</t>
  </si>
  <si>
    <t>Time growth</t>
  </si>
  <si>
    <t>Avg cmp, 1M</t>
  </si>
  <si>
    <t>Avg cmp, 100M</t>
  </si>
  <si>
    <t>Extra cmp</t>
  </si>
  <si>
    <t>Data grew x100; log2(n) grew by only</t>
  </si>
  <si>
    <t>Bonus: parallel merge sort with OpenMP, random data (median of 3 runs)</t>
  </si>
  <si>
    <t>Threads</t>
  </si>
  <si>
    <t>Time 1M (ms)</t>
  </si>
  <si>
    <t>Time 100M (ms)</t>
  </si>
  <si>
    <t>Speedup 1M</t>
  </si>
  <si>
    <t>Speedup 100M</t>
  </si>
  <si>
    <t>Ideal speedup</t>
  </si>
  <si>
    <t>Efficiency 100M</t>
  </si>
  <si>
    <t>Amdahl's law: serial fraction f from the 20-thread speedup S, using 1/S = f + (1-f)/p</t>
  </si>
  <si>
    <t>f (100M)</t>
  </si>
  <si>
    <t>Max speedup with infinite threads = 1/f</t>
  </si>
  <si>
    <t>i7-12800H: 6 performance cores (12 threads with hyper-threading) + 8 efficiency cores = 20 threads, so gains flatten after about 8 threads.</t>
  </si>
  <si>
    <t>Time (ms), n = 100,000,000</t>
  </si>
  <si>
    <t>Comparisons, n = 1,000,000</t>
  </si>
  <si>
    <t>Comparisons, n = 100,000,000</t>
  </si>
  <si>
    <t>Growth when n goes from 1M to 100M (time at 100M / time at 1M). Theory: n log n = x133, O(n + k) = x100</t>
  </si>
  <si>
    <t>n log n theory</t>
  </si>
  <si>
    <t>Fastest algorithm per dataset</t>
  </si>
  <si>
    <t>Size</t>
  </si>
  <si>
    <t>n = 1,000,000</t>
  </si>
  <si>
    <t>n = 100,000,000</t>
  </si>
  <si>
    <t>QuickSort on 100M duplicates was skipped (O(n^2)); it shows as 0 in the charts.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</si>
</sst>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"/>
    <numFmt numFmtId="165" formatCode="\x0.00"/>
    <numFmt numFmtId="166" formatCode="\+0.0"/>
    <numFmt numFmtId="167" formatCode="0.00\x"/>
    <numFmt numFmtId="168" formatCode="0\x"/>
    <numFmt numFmtId="169" formatCode="0.0%"/>
    <numFmt numFmtId="170" formatCode="0.0\x"/>
    <numFmt numFmtId="171" formatCode="\x0"/>
  </numFmts>
  <fonts count="16">
    <font>
      <sz val="11.0"/>
      <color theme="1"/>
      <name val="Calibri"/>
      <scheme val="minor"/>
    </font>
    <font>
      <b/>
      <sz val="14.0"/>
      <color theme="1"/>
      <name val="Trebuchet MS"/>
    </font>
    <font>
      <color theme="1"/>
      <name val="Trebuchet MS"/>
    </font>
    <font>
      <b/>
      <sz val="14.0"/>
      <color theme="1"/>
      <name val="Arial"/>
    </font>
    <font>
      <b/>
      <sz val="11.0"/>
      <color rgb="FF000000"/>
      <name val="Trebuchet MS"/>
    </font>
    <font>
      <b/>
      <sz val="11.0"/>
      <color rgb="FFFFFFFF"/>
      <name val="Arial"/>
    </font>
    <font>
      <sz val="11.0"/>
      <color theme="1"/>
      <name val="Trebuchet MS"/>
    </font>
    <font>
      <b/>
      <sz val="11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i/>
      <sz val="11.0"/>
      <color rgb="FF595959"/>
      <name val="Trebuchet MS"/>
    </font>
    <font>
      <sz val="11.0"/>
      <color rgb="FF000000"/>
      <name val="Calibri"/>
    </font>
    <font>
      <i/>
      <sz val="11.0"/>
      <color rgb="FF595959"/>
      <name val="Arial"/>
    </font>
    <font>
      <b/>
      <sz val="11.0"/>
      <color theme="1"/>
      <name val="Arial"/>
    </font>
    <font>
      <sz val="11.0"/>
      <color rgb="FF0000FF"/>
      <name val="Arial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3" fillId="0" fontId="6" numFmtId="0" xfId="0" applyAlignment="1" applyBorder="1" applyFont="1">
      <alignment shrinkToFit="0" vertical="top" wrapText="0"/>
    </xf>
    <xf borderId="2" fillId="0" fontId="7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shrinkToFit="0" vertical="top" wrapText="1"/>
    </xf>
    <xf borderId="2" fillId="0" fontId="8" numFmtId="0" xfId="0" applyAlignment="1" applyBorder="1" applyFont="1">
      <alignment shrinkToFit="0" vertical="bottom" wrapText="0"/>
    </xf>
    <xf borderId="2" fillId="0" fontId="9" numFmtId="3" xfId="0" applyAlignment="1" applyBorder="1" applyFont="1" applyNumberFormat="1">
      <alignment shrinkToFit="0" vertical="bottom" wrapText="0"/>
    </xf>
    <xf borderId="2" fillId="0" fontId="9" numFmtId="4" xfId="0" applyAlignment="1" applyBorder="1" applyFont="1" applyNumberFormat="1">
      <alignment shrinkToFit="0" vertical="bottom" wrapText="0"/>
    </xf>
    <xf borderId="2" fillId="0" fontId="9" numFmtId="1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2" fillId="0" fontId="9" numFmtId="0" xfId="0" applyAlignment="1" applyBorder="1" applyFont="1">
      <alignment shrinkToFit="0" vertical="bottom" wrapText="0"/>
    </xf>
    <xf borderId="2" fillId="0" fontId="11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2" fillId="0" fontId="13" numFmtId="0" xfId="0" applyAlignment="1" applyBorder="1" applyFont="1">
      <alignment horizontal="center" shrinkToFit="0" vertical="center" wrapText="1"/>
    </xf>
    <xf borderId="2" fillId="0" fontId="8" numFmtId="4" xfId="0" applyAlignment="1" applyBorder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center" wrapText="1"/>
    </xf>
    <xf borderId="2" fillId="0" fontId="8" numFmtId="3" xfId="0" applyAlignment="1" applyBorder="1" applyFont="1" applyNumberFormat="1">
      <alignment shrinkToFit="0" vertical="bottom" wrapText="0"/>
    </xf>
    <xf borderId="2" fillId="0" fontId="8" numFmtId="164" xfId="0" applyAlignment="1" applyBorder="1" applyFont="1" applyNumberFormat="1">
      <alignment shrinkToFit="0" vertical="bottom" wrapText="0"/>
    </xf>
    <xf borderId="2" fillId="0" fontId="8" numFmtId="1" xfId="0" applyAlignment="1" applyBorder="1" applyFont="1" applyNumberFormat="1">
      <alignment shrinkToFit="0" vertical="bottom" wrapText="0"/>
    </xf>
    <xf borderId="2" fillId="0" fontId="8" numFmtId="2" xfId="0" applyAlignment="1" applyBorder="1" applyFont="1" applyNumberFormat="1">
      <alignment shrinkToFit="0" vertical="bottom" wrapText="0"/>
    </xf>
    <xf borderId="2" fillId="0" fontId="8" numFmtId="165" xfId="0" applyAlignment="1" applyBorder="1" applyFont="1" applyNumberFormat="1">
      <alignment shrinkToFit="0" vertical="bottom" wrapText="0"/>
    </xf>
    <xf borderId="2" fillId="0" fontId="8" numFmtId="166" xfId="0" applyAlignment="1" applyBorder="1" applyFont="1" applyNumberFormat="1">
      <alignment shrinkToFit="0" vertical="bottom" wrapText="0"/>
    </xf>
    <xf borderId="0" fillId="0" fontId="8" numFmtId="166" xfId="0" applyAlignment="1" applyFont="1" applyNumberFormat="1">
      <alignment shrinkToFit="0" vertical="bottom" wrapText="0"/>
    </xf>
    <xf borderId="2" fillId="0" fontId="14" numFmtId="1" xfId="0" applyAlignment="1" applyBorder="1" applyFont="1" applyNumberFormat="1">
      <alignment shrinkToFit="0" vertical="bottom" wrapText="0"/>
    </xf>
    <xf borderId="2" fillId="0" fontId="14" numFmtId="4" xfId="0" applyAlignment="1" applyBorder="1" applyFont="1" applyNumberFormat="1">
      <alignment shrinkToFit="0" vertical="bottom" wrapText="0"/>
    </xf>
    <xf borderId="2" fillId="0" fontId="8" numFmtId="167" xfId="0" applyAlignment="1" applyBorder="1" applyFont="1" applyNumberFormat="1">
      <alignment shrinkToFit="0" vertical="bottom" wrapText="0"/>
    </xf>
    <xf borderId="2" fillId="0" fontId="8" numFmtId="168" xfId="0" applyAlignment="1" applyBorder="1" applyFont="1" applyNumberFormat="1">
      <alignment shrinkToFit="0" vertical="bottom" wrapText="0"/>
    </xf>
    <xf borderId="2" fillId="0" fontId="8" numFmtId="9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169" xfId="0" applyAlignment="1" applyFont="1" applyNumberFormat="1">
      <alignment shrinkToFit="0" vertical="bottom" wrapText="0"/>
    </xf>
    <xf borderId="0" fillId="0" fontId="8" numFmtId="170" xfId="0" applyAlignment="1" applyFont="1" applyNumberFormat="1">
      <alignment shrinkToFit="0" vertical="bottom" wrapText="0"/>
    </xf>
    <xf borderId="0" fillId="0" fontId="15" numFmtId="0" xfId="0" applyFont="1"/>
    <xf borderId="0" fillId="0" fontId="7" numFmtId="0" xfId="0" applyAlignment="1" applyFont="1">
      <alignment shrinkToFit="0" vertical="bottom" wrapText="0"/>
    </xf>
    <xf borderId="2" fillId="0" fontId="9" numFmtId="171" xfId="0" applyAlignment="1" applyBorder="1" applyFont="1" applyNumberFormat="1">
      <alignment shrinkToFit="0" vertical="bottom" wrapText="0"/>
    </xf>
    <xf borderId="0" fillId="0" fontId="9" numFmtId="17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Sorting time, n = 1,000,000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AlphaDev sort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'Sorting Summary'!$B$5:$E$5</c:f>
            </c:strRef>
          </c:cat>
          <c:val>
            <c:numRef>
              <c:f>'Sorting Summary'!$B$6:$E$6</c:f>
              <c:numCache/>
            </c:numRef>
          </c:val>
        </c:ser>
        <c:ser>
          <c:idx val="1"/>
          <c:order val="1"/>
          <c:tx>
            <c:v>PDQSort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'Sorting Summary'!$B$5:$E$5</c:f>
            </c:strRef>
          </c:cat>
          <c:val>
            <c:numRef>
              <c:f>'Sorting Summary'!$B$7:$E$7</c:f>
              <c:numCache/>
            </c:numRef>
          </c:val>
        </c:ser>
        <c:ser>
          <c:idx val="2"/>
          <c:order val="2"/>
          <c:tx>
            <c:v>TwinArray Sort</c:v>
          </c:tx>
          <c:spPr>
            <a:solidFill>
              <a:srgbClr val="9BBB59"/>
            </a:solidFill>
            <a:ln cmpd="sng">
              <a:noFill/>
            </a:ln>
          </c:spPr>
          <c:invertIfNegative val="0"/>
          <c:cat>
            <c:strRef>
              <c:f>'Sorting Summary'!$B$5:$E$5</c:f>
            </c:strRef>
          </c:cat>
          <c:val>
            <c:numRef>
              <c:f>'Sorting Summary'!$B$8:$E$8</c:f>
              <c:numCache/>
            </c:numRef>
          </c:val>
        </c:ser>
        <c:ser>
          <c:idx val="3"/>
          <c:order val="3"/>
          <c:tx>
            <c:v>Merge sort</c:v>
          </c:tx>
          <c:spPr>
            <a:solidFill>
              <a:srgbClr val="8064A2"/>
            </a:solidFill>
            <a:ln cmpd="sng">
              <a:noFill/>
            </a:ln>
          </c:spPr>
          <c:invertIfNegative val="0"/>
          <c:cat>
            <c:strRef>
              <c:f>'Sorting Summary'!$B$5:$E$5</c:f>
            </c:strRef>
          </c:cat>
          <c:val>
            <c:numRef>
              <c:f>'Sorting Summary'!$B$9:$E$9</c:f>
              <c:numCache/>
            </c:numRef>
          </c:val>
        </c:ser>
        <c:ser>
          <c:idx val="4"/>
          <c:order val="4"/>
          <c:tx>
            <c:v>Heap sort</c:v>
          </c:tx>
          <c:spPr>
            <a:solidFill>
              <a:srgbClr val="4BACC6"/>
            </a:solidFill>
            <a:ln cmpd="sng">
              <a:noFill/>
            </a:ln>
          </c:spPr>
          <c:invertIfNegative val="0"/>
          <c:cat>
            <c:strRef>
              <c:f>'Sorting Summary'!$B$5:$E$5</c:f>
            </c:strRef>
          </c:cat>
          <c:val>
            <c:numRef>
              <c:f>'Sorting Summary'!$B$10:$E$10</c:f>
              <c:numCache/>
            </c:numRef>
          </c:val>
        </c:ser>
        <c:ser>
          <c:idx val="5"/>
          <c:order val="5"/>
          <c:tx>
            <c:v>QuickSort</c:v>
          </c:tx>
          <c:spPr>
            <a:solidFill>
              <a:srgbClr val="F79646"/>
            </a:solidFill>
            <a:ln cmpd="sng">
              <a:noFill/>
            </a:ln>
          </c:spPr>
          <c:invertIfNegative val="0"/>
          <c:cat>
            <c:strRef>
              <c:f>'Sorting Summary'!$B$5:$E$5</c:f>
            </c:strRef>
          </c:cat>
          <c:val>
            <c:numRef>
              <c:f>'Sorting Summary'!$B$11:$E$11</c:f>
              <c:numCache/>
            </c:numRef>
          </c:val>
        </c:ser>
        <c:axId val="1556211148"/>
        <c:axId val="1487476587"/>
      </c:barChart>
      <c:catAx>
        <c:axId val="1556211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87476587"/>
      </c:catAx>
      <c:valAx>
        <c:axId val="1487476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5621114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Sorting time, n = 100,000,000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AlphaDev sort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'Sorting Summary'!$B$15:$E$15</c:f>
            </c:strRef>
          </c:cat>
          <c:val>
            <c:numRef>
              <c:f>'Sorting Summary'!$B$16:$E$16</c:f>
              <c:numCache/>
            </c:numRef>
          </c:val>
        </c:ser>
        <c:ser>
          <c:idx val="1"/>
          <c:order val="1"/>
          <c:tx>
            <c:v>PDQSort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'Sorting Summary'!$B$15:$E$15</c:f>
            </c:strRef>
          </c:cat>
          <c:val>
            <c:numRef>
              <c:f>'Sorting Summary'!$B$17:$E$17</c:f>
              <c:numCache/>
            </c:numRef>
          </c:val>
        </c:ser>
        <c:ser>
          <c:idx val="2"/>
          <c:order val="2"/>
          <c:tx>
            <c:v>TwinArray Sort</c:v>
          </c:tx>
          <c:spPr>
            <a:solidFill>
              <a:srgbClr val="9BBB59"/>
            </a:solidFill>
            <a:ln cmpd="sng">
              <a:noFill/>
            </a:ln>
          </c:spPr>
          <c:invertIfNegative val="0"/>
          <c:cat>
            <c:strRef>
              <c:f>'Sorting Summary'!$B$15:$E$15</c:f>
            </c:strRef>
          </c:cat>
          <c:val>
            <c:numRef>
              <c:f>'Sorting Summary'!$B$18:$E$18</c:f>
              <c:numCache/>
            </c:numRef>
          </c:val>
        </c:ser>
        <c:ser>
          <c:idx val="3"/>
          <c:order val="3"/>
          <c:tx>
            <c:v>Merge sort</c:v>
          </c:tx>
          <c:spPr>
            <a:solidFill>
              <a:srgbClr val="8064A2"/>
            </a:solidFill>
            <a:ln cmpd="sng">
              <a:noFill/>
            </a:ln>
          </c:spPr>
          <c:invertIfNegative val="0"/>
          <c:cat>
            <c:strRef>
              <c:f>'Sorting Summary'!$B$15:$E$15</c:f>
            </c:strRef>
          </c:cat>
          <c:val>
            <c:numRef>
              <c:f>'Sorting Summary'!$B$19:$E$19</c:f>
              <c:numCache/>
            </c:numRef>
          </c:val>
        </c:ser>
        <c:ser>
          <c:idx val="4"/>
          <c:order val="4"/>
          <c:tx>
            <c:v>Heap sort</c:v>
          </c:tx>
          <c:spPr>
            <a:solidFill>
              <a:srgbClr val="4BACC6"/>
            </a:solidFill>
            <a:ln cmpd="sng">
              <a:noFill/>
            </a:ln>
          </c:spPr>
          <c:invertIfNegative val="0"/>
          <c:cat>
            <c:strRef>
              <c:f>'Sorting Summary'!$B$15:$E$15</c:f>
            </c:strRef>
          </c:cat>
          <c:val>
            <c:numRef>
              <c:f>'Sorting Summary'!$B$20:$E$20</c:f>
              <c:numCache/>
            </c:numRef>
          </c:val>
        </c:ser>
        <c:ser>
          <c:idx val="5"/>
          <c:order val="5"/>
          <c:tx>
            <c:v>QuickSort</c:v>
          </c:tx>
          <c:spPr>
            <a:solidFill>
              <a:srgbClr val="F79646"/>
            </a:solidFill>
            <a:ln cmpd="sng">
              <a:noFill/>
            </a:ln>
          </c:spPr>
          <c:invertIfNegative val="0"/>
          <c:cat>
            <c:strRef>
              <c:f>'Sorting Summary'!$B$15:$E$15</c:f>
            </c:strRef>
          </c:cat>
          <c:val>
            <c:numRef>
              <c:f>'Sorting Summary'!$B$21:$E$21</c:f>
              <c:numCache/>
            </c:numRef>
          </c:val>
        </c:ser>
        <c:axId val="1121029335"/>
        <c:axId val="1692257363"/>
      </c:barChart>
      <c:catAx>
        <c:axId val="1121029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92257363"/>
      </c:catAx>
      <c:valAx>
        <c:axId val="1692257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2102933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Growth from 1M to 100M (theory: x133 for n log n)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AlphaDev sort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'Sorting Summary'!$B$45:$E$45</c:f>
            </c:strRef>
          </c:cat>
          <c:val>
            <c:numRef>
              <c:f>'Sorting Summary'!$B$46:$E$46</c:f>
              <c:numCache/>
            </c:numRef>
          </c:val>
        </c:ser>
        <c:ser>
          <c:idx val="1"/>
          <c:order val="1"/>
          <c:tx>
            <c:v>PDQSort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'Sorting Summary'!$B$45:$E$45</c:f>
            </c:strRef>
          </c:cat>
          <c:val>
            <c:numRef>
              <c:f>'Sorting Summary'!$B$47:$E$47</c:f>
              <c:numCache/>
            </c:numRef>
          </c:val>
        </c:ser>
        <c:ser>
          <c:idx val="2"/>
          <c:order val="2"/>
          <c:tx>
            <c:v>TwinArray Sort</c:v>
          </c:tx>
          <c:spPr>
            <a:solidFill>
              <a:srgbClr val="9BBB59"/>
            </a:solidFill>
            <a:ln cmpd="sng">
              <a:noFill/>
            </a:ln>
          </c:spPr>
          <c:invertIfNegative val="0"/>
          <c:cat>
            <c:strRef>
              <c:f>'Sorting Summary'!$B$45:$E$45</c:f>
            </c:strRef>
          </c:cat>
          <c:val>
            <c:numRef>
              <c:f>'Sorting Summary'!$B$48:$E$48</c:f>
              <c:numCache/>
            </c:numRef>
          </c:val>
        </c:ser>
        <c:ser>
          <c:idx val="3"/>
          <c:order val="3"/>
          <c:tx>
            <c:v>Merge sort</c:v>
          </c:tx>
          <c:spPr>
            <a:solidFill>
              <a:srgbClr val="8064A2"/>
            </a:solidFill>
            <a:ln cmpd="sng">
              <a:noFill/>
            </a:ln>
          </c:spPr>
          <c:invertIfNegative val="0"/>
          <c:cat>
            <c:strRef>
              <c:f>'Sorting Summary'!$B$45:$E$45</c:f>
            </c:strRef>
          </c:cat>
          <c:val>
            <c:numRef>
              <c:f>'Sorting Summary'!$B$49:$E$49</c:f>
              <c:numCache/>
            </c:numRef>
          </c:val>
        </c:ser>
        <c:ser>
          <c:idx val="4"/>
          <c:order val="4"/>
          <c:tx>
            <c:v>Heap sort</c:v>
          </c:tx>
          <c:spPr>
            <a:solidFill>
              <a:srgbClr val="4BACC6"/>
            </a:solidFill>
            <a:ln cmpd="sng">
              <a:noFill/>
            </a:ln>
          </c:spPr>
          <c:invertIfNegative val="0"/>
          <c:cat>
            <c:strRef>
              <c:f>'Sorting Summary'!$B$45:$E$45</c:f>
            </c:strRef>
          </c:cat>
          <c:val>
            <c:numRef>
              <c:f>'Sorting Summary'!$B$50:$E$50</c:f>
              <c:numCache/>
            </c:numRef>
          </c:val>
        </c:ser>
        <c:ser>
          <c:idx val="5"/>
          <c:order val="5"/>
          <c:tx>
            <c:v>QuickSort</c:v>
          </c:tx>
          <c:spPr>
            <a:solidFill>
              <a:srgbClr val="F79646"/>
            </a:solidFill>
            <a:ln cmpd="sng">
              <a:noFill/>
            </a:ln>
          </c:spPr>
          <c:invertIfNegative val="0"/>
          <c:cat>
            <c:strRef>
              <c:f>'Sorting Summary'!$B$45:$E$45</c:f>
            </c:strRef>
          </c:cat>
          <c:val>
            <c:numRef>
              <c:f>'Sorting Summary'!$B$51:$E$51</c:f>
              <c:numCache/>
            </c:numRef>
          </c:val>
        </c:ser>
        <c:axId val="238338005"/>
        <c:axId val="1232306154"/>
      </c:barChart>
      <c:catAx>
        <c:axId val="238338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32306154"/>
      </c:catAx>
      <c:valAx>
        <c:axId val="12323061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Times slower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3833800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Sorting time vs dataset size (random data)</a:t>
            </a:r>
          </a:p>
        </c:rich>
      </c:tx>
      <c:overlay val="0"/>
    </c:title>
    <c:plotArea>
      <c:layout>
        <c:manualLayout>
          <c:xMode val="edge"/>
          <c:yMode val="edge"/>
          <c:x val="0.15364877717391293"/>
          <c:y val="0.14705882352941177"/>
          <c:w val="0.6807478228109745"/>
          <c:h val="0.7030812324929971"/>
        </c:manualLayout>
      </c:layout>
      <c:lineChart>
        <c:ser>
          <c:idx val="0"/>
          <c:order val="0"/>
          <c:tx>
            <c:v>AlphaDev sort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A7EBB">
                  <a:alpha val="100000"/>
                </a:srgbClr>
              </a:solidFill>
              <a:ln cmpd="sng">
                <a:solidFill>
                  <a:srgbClr val="4A7EBB">
                    <a:alpha val="100000"/>
                  </a:srgbClr>
                </a:solidFill>
              </a:ln>
            </c:spPr>
          </c:marker>
          <c:cat>
            <c:strRef>
              <c:f>'Time vs Size'!$B$3:$C$3</c:f>
            </c:strRef>
          </c:cat>
          <c:val>
            <c:numRef>
              <c:f>'Time vs Size'!$B$4:$C$4</c:f>
              <c:numCache/>
            </c:numRef>
          </c:val>
          <c:smooth val="1"/>
        </c:ser>
        <c:ser>
          <c:idx val="1"/>
          <c:order val="1"/>
          <c:tx>
            <c:v>PDQSort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E4B48">
                  <a:alpha val="100000"/>
                </a:srgbClr>
              </a:solidFill>
              <a:ln cmpd="sng">
                <a:solidFill>
                  <a:srgbClr val="BE4B48">
                    <a:alpha val="100000"/>
                  </a:srgbClr>
                </a:solidFill>
              </a:ln>
            </c:spPr>
          </c:marker>
          <c:cat>
            <c:strRef>
              <c:f>'Time vs Size'!$B$3:$C$3</c:f>
            </c:strRef>
          </c:cat>
          <c:val>
            <c:numRef>
              <c:f>'Time vs Size'!$B$5:$C$5</c:f>
              <c:numCache/>
            </c:numRef>
          </c:val>
          <c:smooth val="1"/>
        </c:ser>
        <c:ser>
          <c:idx val="2"/>
          <c:order val="2"/>
          <c:tx>
            <c:v>TwinArray Sort</c:v>
          </c:tx>
          <c:spPr>
            <a:ln cmpd="sng" w="19050">
              <a:solidFill>
                <a:srgbClr val="98B855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98B855">
                  <a:alpha val="100000"/>
                </a:srgbClr>
              </a:solidFill>
              <a:ln cmpd="sng">
                <a:solidFill>
                  <a:srgbClr val="98B855">
                    <a:alpha val="100000"/>
                  </a:srgbClr>
                </a:solidFill>
              </a:ln>
            </c:spPr>
          </c:marker>
          <c:cat>
            <c:strRef>
              <c:f>'Time vs Size'!$B$3:$C$3</c:f>
            </c:strRef>
          </c:cat>
          <c:val>
            <c:numRef>
              <c:f>'Time vs Size'!$B$6:$C$6</c:f>
              <c:numCache/>
            </c:numRef>
          </c:val>
          <c:smooth val="1"/>
        </c:ser>
        <c:ser>
          <c:idx val="3"/>
          <c:order val="3"/>
          <c:tx>
            <c:v>Merge sort</c:v>
          </c:tx>
          <c:spPr>
            <a:ln cmpd="sng" w="19050">
              <a:solidFill>
                <a:srgbClr val="7D5FA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7D5FA0">
                  <a:alpha val="100000"/>
                </a:srgbClr>
              </a:solidFill>
              <a:ln cmpd="sng">
                <a:solidFill>
                  <a:srgbClr val="7D5FA0">
                    <a:alpha val="100000"/>
                  </a:srgbClr>
                </a:solidFill>
              </a:ln>
            </c:spPr>
          </c:marker>
          <c:cat>
            <c:strRef>
              <c:f>'Time vs Size'!$B$3:$C$3</c:f>
            </c:strRef>
          </c:cat>
          <c:val>
            <c:numRef>
              <c:f>'Time vs Size'!$B$7:$C$7</c:f>
              <c:numCache/>
            </c:numRef>
          </c:val>
          <c:smooth val="1"/>
        </c:ser>
        <c:ser>
          <c:idx val="4"/>
          <c:order val="4"/>
          <c:tx>
            <c:v>Heap sort</c:v>
          </c:tx>
          <c:spPr>
            <a:ln cmpd="sng" w="19050">
              <a:solidFill>
                <a:srgbClr val="46AAC4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6AAC4">
                  <a:alpha val="100000"/>
                </a:srgbClr>
              </a:solidFill>
              <a:ln cmpd="sng">
                <a:solidFill>
                  <a:srgbClr val="46AAC4">
                    <a:alpha val="100000"/>
                  </a:srgbClr>
                </a:solidFill>
              </a:ln>
            </c:spPr>
          </c:marker>
          <c:cat>
            <c:strRef>
              <c:f>'Time vs Size'!$B$3:$C$3</c:f>
            </c:strRef>
          </c:cat>
          <c:val>
            <c:numRef>
              <c:f>'Time vs Size'!$B$8:$C$8</c:f>
              <c:numCache/>
            </c:numRef>
          </c:val>
          <c:smooth val="1"/>
        </c:ser>
        <c:ser>
          <c:idx val="5"/>
          <c:order val="5"/>
          <c:tx>
            <c:v>QuickSort</c:v>
          </c:tx>
          <c:spPr>
            <a:ln cmpd="sng" w="19050">
              <a:solidFill>
                <a:srgbClr val="F5924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59240">
                  <a:alpha val="100000"/>
                </a:srgbClr>
              </a:solidFill>
              <a:ln cmpd="sng">
                <a:solidFill>
                  <a:srgbClr val="F59240">
                    <a:alpha val="100000"/>
                  </a:srgbClr>
                </a:solidFill>
              </a:ln>
            </c:spPr>
          </c:marker>
          <c:cat>
            <c:strRef>
              <c:f>'Time vs Size'!$B$3:$C$3</c:f>
            </c:strRef>
          </c:cat>
          <c:val>
            <c:numRef>
              <c:f>'Time vs Size'!$B$9:$C$9</c:f>
              <c:numCache/>
            </c:numRef>
          </c:val>
          <c:smooth val="1"/>
        </c:ser>
        <c:axId val="646296162"/>
        <c:axId val="1442046070"/>
      </c:lineChart>
      <c:catAx>
        <c:axId val="646296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42046070"/>
      </c:catAx>
      <c:valAx>
        <c:axId val="14420460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Time (ms, log scale)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4629616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Average search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ns, 1M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Search!$A$14:$A$16</c:f>
            </c:strRef>
          </c:cat>
          <c:val>
            <c:numRef>
              <c:f>Search!$B$14:$B$16</c:f>
              <c:numCache/>
            </c:numRef>
          </c:val>
        </c:ser>
        <c:ser>
          <c:idx val="1"/>
          <c:order val="1"/>
          <c:tx>
            <c:v>Avg ns, 100M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Search!$A$14:$A$16</c:f>
            </c:strRef>
          </c:cat>
          <c:val>
            <c:numRef>
              <c:f>Search!$C$14:$C$16</c:f>
              <c:numCache/>
            </c:numRef>
          </c:val>
        </c:ser>
        <c:axId val="1173916543"/>
        <c:axId val="1172310461"/>
      </c:barChart>
      <c:catAx>
        <c:axId val="1173916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72310461"/>
      </c:catAx>
      <c:valAx>
        <c:axId val="1172310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Time (ns)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7391654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Average comparisons per search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cmp, 1M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Search!$A$14:$A$16</c:f>
            </c:strRef>
          </c:cat>
          <c:val>
            <c:numRef>
              <c:f>Search!$E$14:$E$16</c:f>
              <c:numCache/>
            </c:numRef>
          </c:val>
        </c:ser>
        <c:ser>
          <c:idx val="1"/>
          <c:order val="1"/>
          <c:tx>
            <c:v>Avg cmp, 100M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Search!$A$14:$A$16</c:f>
            </c:strRef>
          </c:cat>
          <c:val>
            <c:numRef>
              <c:f>Search!$F$14:$F$16</c:f>
              <c:numCache/>
            </c:numRef>
          </c:val>
        </c:ser>
        <c:axId val="1754466155"/>
        <c:axId val="241758561"/>
      </c:barChart>
      <c:catAx>
        <c:axId val="1754466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41758561"/>
      </c:catAx>
      <c:valAx>
        <c:axId val="241758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Comparisons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5446615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OpenMP speedup vs threads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Speedup 1M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A7EBB">
                  <a:alpha val="100000"/>
                </a:srgbClr>
              </a:solidFill>
              <a:ln cmpd="sng">
                <a:solidFill>
                  <a:srgbClr val="4A7EBB">
                    <a:alpha val="100000"/>
                  </a:srgbClr>
                </a:solidFill>
              </a:ln>
            </c:spPr>
          </c:marker>
          <c:cat>
            <c:strRef>
              <c:f>OpenMP!$A$4:$A$9</c:f>
            </c:strRef>
          </c:cat>
          <c:val>
            <c:numRef>
              <c:f>OpenMP!$D$4:$D$9</c:f>
              <c:numCache/>
            </c:numRef>
          </c:val>
          <c:smooth val="1"/>
        </c:ser>
        <c:ser>
          <c:idx val="1"/>
          <c:order val="1"/>
          <c:tx>
            <c:v>Speedup 100M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E4B48">
                  <a:alpha val="100000"/>
                </a:srgbClr>
              </a:solidFill>
              <a:ln cmpd="sng">
                <a:solidFill>
                  <a:srgbClr val="BE4B48">
                    <a:alpha val="100000"/>
                  </a:srgbClr>
                </a:solidFill>
              </a:ln>
            </c:spPr>
          </c:marker>
          <c:cat>
            <c:strRef>
              <c:f>OpenMP!$A$4:$A$9</c:f>
            </c:strRef>
          </c:cat>
          <c:val>
            <c:numRef>
              <c:f>OpenMP!$E$4:$E$9</c:f>
              <c:numCache/>
            </c:numRef>
          </c:val>
          <c:smooth val="1"/>
        </c:ser>
        <c:ser>
          <c:idx val="2"/>
          <c:order val="2"/>
          <c:tx>
            <c:v>Ideal speedup</c:v>
          </c:tx>
          <c:spPr>
            <a:ln cmpd="sng" w="19050">
              <a:solidFill>
                <a:srgbClr val="98B855">
                  <a:alpha val="100000"/>
                </a:srgbClr>
              </a:solidFill>
              <a:prstDash val="dash"/>
            </a:ln>
          </c:spPr>
          <c:marker>
            <c:symbol val="circle"/>
            <c:size val="5"/>
            <c:spPr>
              <a:solidFill>
                <a:srgbClr val="98B855">
                  <a:alpha val="100000"/>
                </a:srgbClr>
              </a:solidFill>
              <a:ln cmpd="sng">
                <a:solidFill>
                  <a:srgbClr val="98B855">
                    <a:alpha val="100000"/>
                  </a:srgbClr>
                </a:solidFill>
              </a:ln>
            </c:spPr>
          </c:marker>
          <c:cat>
            <c:strRef>
              <c:f>OpenMP!$A$4:$A$9</c:f>
            </c:strRef>
          </c:cat>
          <c:val>
            <c:numRef>
              <c:f>OpenMP!$F$4:$F$9</c:f>
              <c:numCache/>
            </c:numRef>
          </c:val>
          <c:smooth val="1"/>
        </c:ser>
        <c:axId val="1799503390"/>
        <c:axId val="1281587044"/>
      </c:lineChart>
      <c:catAx>
        <c:axId val="1799503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81587044"/>
      </c:catAx>
      <c:valAx>
        <c:axId val="1281587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Speedup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9950339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523875</xdr:colOff>
      <xdr:row>2</xdr:row>
      <xdr:rowOff>66675</xdr:rowOff>
    </xdr:from>
    <xdr:ext cx="5810250" cy="3209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523875</xdr:colOff>
      <xdr:row>22</xdr:row>
      <xdr:rowOff>161925</xdr:rowOff>
    </xdr:from>
    <xdr:ext cx="5810250" cy="3209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44</xdr:row>
      <xdr:rowOff>0</xdr:rowOff>
    </xdr:from>
    <xdr:ext cx="5810250" cy="28670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12</xdr:row>
      <xdr:rowOff>95250</xdr:rowOff>
    </xdr:from>
    <xdr:ext cx="5476875" cy="34004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18</xdr:row>
      <xdr:rowOff>9525</xdr:rowOff>
    </xdr:from>
    <xdr:ext cx="5153025" cy="28765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1104900</xdr:colOff>
      <xdr:row>18</xdr:row>
      <xdr:rowOff>9525</xdr:rowOff>
    </xdr:from>
    <xdr:ext cx="5153025" cy="28765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16</xdr:row>
      <xdr:rowOff>152400</xdr:rowOff>
    </xdr:from>
    <xdr:ext cx="5476875" cy="32575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57"/>
    <col customWidth="1" min="2" max="2" width="100.0"/>
    <col customWidth="1" min="3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5</v>
      </c>
      <c r="B4" s="8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13</v>
      </c>
      <c r="B5" s="8" t="s">
        <v>14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17</v>
      </c>
      <c r="B6" s="8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21</v>
      </c>
      <c r="B7" s="8" t="s">
        <v>22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24</v>
      </c>
      <c r="B8" s="8" t="s">
        <v>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20</v>
      </c>
      <c r="B9" s="8" t="s">
        <v>26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28</v>
      </c>
      <c r="B10" s="8" t="s">
        <v>30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33</v>
      </c>
      <c r="B11" s="8" t="s">
        <v>34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36</v>
      </c>
      <c r="B12" s="8" t="s">
        <v>37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38</v>
      </c>
      <c r="B13" s="8" t="s">
        <v>39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40</v>
      </c>
      <c r="B14" s="8" t="s">
        <v>41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11</v>
      </c>
      <c r="B15" s="8" t="s">
        <v>42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43</v>
      </c>
      <c r="B16" s="8" t="s">
        <v>44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45</v>
      </c>
      <c r="B17" s="8" t="s">
        <v>46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47</v>
      </c>
      <c r="B18" s="8" t="s">
        <v>48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49</v>
      </c>
      <c r="B19" s="8" t="s">
        <v>50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51</v>
      </c>
      <c r="B20" s="8" t="s">
        <v>52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10.0"/>
    <col customWidth="1" min="3" max="3" width="16.0"/>
    <col customWidth="1" min="4" max="4" width="14.0"/>
    <col customWidth="1" min="5" max="5" width="13.0"/>
    <col customWidth="1" min="6" max="6" width="16.0"/>
    <col customWidth="1" min="7" max="7" width="11.0"/>
    <col customWidth="1" min="8" max="8" width="12.0"/>
    <col customWidth="1" min="9" max="9" width="36.0"/>
    <col customWidth="1" min="10" max="26" width="8.71"/>
  </cols>
  <sheetData>
    <row r="1">
      <c r="A1" s="3" t="s">
        <v>1</v>
      </c>
    </row>
    <row r="3">
      <c r="A3" s="5" t="s">
        <v>3</v>
      </c>
      <c r="B3" s="7" t="s">
        <v>6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15</v>
      </c>
    </row>
    <row r="4">
      <c r="A4" s="9" t="s">
        <v>16</v>
      </c>
      <c r="B4" s="9" t="s">
        <v>19</v>
      </c>
      <c r="C4" s="9" t="s">
        <v>20</v>
      </c>
      <c r="D4" s="10">
        <v>1000000.0</v>
      </c>
      <c r="E4" s="11">
        <v>73.94</v>
      </c>
      <c r="F4" s="10">
        <v>2.2174921E7</v>
      </c>
      <c r="G4" s="12">
        <v>13.0</v>
      </c>
      <c r="H4" s="11">
        <v>0.0</v>
      </c>
    </row>
    <row r="5">
      <c r="A5" s="9" t="s">
        <v>23</v>
      </c>
      <c r="B5" s="9" t="s">
        <v>19</v>
      </c>
      <c r="C5" s="9" t="s">
        <v>20</v>
      </c>
      <c r="D5" s="10">
        <v>1000000.0</v>
      </c>
      <c r="E5" s="11">
        <v>72.12</v>
      </c>
      <c r="F5" s="10">
        <v>2.2900121E7</v>
      </c>
      <c r="G5" s="12">
        <v>22.0</v>
      </c>
      <c r="H5" s="11">
        <v>0.0</v>
      </c>
    </row>
    <row r="6">
      <c r="A6" s="9" t="s">
        <v>27</v>
      </c>
      <c r="B6" s="9" t="s">
        <v>19</v>
      </c>
      <c r="C6" s="9" t="s">
        <v>20</v>
      </c>
      <c r="D6" s="10">
        <v>1000000.0</v>
      </c>
      <c r="E6" s="11">
        <v>16.34</v>
      </c>
      <c r="F6" s="10">
        <v>2000000.0</v>
      </c>
      <c r="G6" s="12">
        <v>0.0</v>
      </c>
      <c r="H6" s="11">
        <v>7.63</v>
      </c>
    </row>
    <row r="7">
      <c r="A7" s="9" t="s">
        <v>29</v>
      </c>
      <c r="B7" s="9" t="s">
        <v>31</v>
      </c>
      <c r="C7" s="9" t="s">
        <v>20</v>
      </c>
      <c r="D7" s="10">
        <v>1000000.0</v>
      </c>
      <c r="E7" s="11">
        <v>96.32</v>
      </c>
      <c r="F7" s="10">
        <v>1.8674876E7</v>
      </c>
      <c r="G7" s="12">
        <v>20.0</v>
      </c>
      <c r="H7" s="11">
        <v>3.81</v>
      </c>
    </row>
    <row r="8">
      <c r="A8" s="9" t="s">
        <v>32</v>
      </c>
      <c r="B8" s="9" t="s">
        <v>31</v>
      </c>
      <c r="C8" s="9" t="s">
        <v>20</v>
      </c>
      <c r="D8" s="10">
        <v>1000000.0</v>
      </c>
      <c r="E8" s="11">
        <v>118.77</v>
      </c>
      <c r="F8" s="10">
        <v>3.6793933E7</v>
      </c>
      <c r="G8" s="12">
        <v>0.0</v>
      </c>
      <c r="H8" s="11">
        <v>0.0</v>
      </c>
    </row>
    <row r="9">
      <c r="A9" s="9" t="s">
        <v>35</v>
      </c>
      <c r="B9" s="9" t="s">
        <v>31</v>
      </c>
      <c r="C9" s="9" t="s">
        <v>20</v>
      </c>
      <c r="D9" s="10">
        <v>1000000.0</v>
      </c>
      <c r="E9" s="11">
        <v>66.72</v>
      </c>
      <c r="F9" s="10">
        <v>2.4880331E7</v>
      </c>
      <c r="G9" s="12">
        <v>51.0</v>
      </c>
      <c r="H9" s="11">
        <v>0.0</v>
      </c>
    </row>
    <row r="10">
      <c r="A10" s="9" t="s">
        <v>16</v>
      </c>
      <c r="B10" s="9" t="s">
        <v>19</v>
      </c>
      <c r="C10" s="9" t="s">
        <v>28</v>
      </c>
      <c r="D10" s="10">
        <v>1000000.0</v>
      </c>
      <c r="E10" s="11">
        <v>17.37</v>
      </c>
      <c r="F10" s="10">
        <v>1.9612073E7</v>
      </c>
      <c r="G10" s="12">
        <v>17.0</v>
      </c>
      <c r="H10" s="11">
        <v>0.0</v>
      </c>
    </row>
    <row r="11">
      <c r="A11" s="9" t="s">
        <v>23</v>
      </c>
      <c r="B11" s="9" t="s">
        <v>19</v>
      </c>
      <c r="C11" s="9" t="s">
        <v>28</v>
      </c>
      <c r="D11" s="10">
        <v>1000000.0</v>
      </c>
      <c r="E11" s="11">
        <v>10.9</v>
      </c>
      <c r="F11" s="10">
        <v>1.6242358E7</v>
      </c>
      <c r="G11" s="12">
        <v>16.0</v>
      </c>
      <c r="H11" s="11">
        <v>0.0</v>
      </c>
    </row>
    <row r="12">
      <c r="A12" s="9" t="s">
        <v>27</v>
      </c>
      <c r="B12" s="9" t="s">
        <v>19</v>
      </c>
      <c r="C12" s="9" t="s">
        <v>28</v>
      </c>
      <c r="D12" s="10">
        <v>1000000.0</v>
      </c>
      <c r="E12" s="11">
        <v>10.17</v>
      </c>
      <c r="F12" s="10">
        <v>2000000.0</v>
      </c>
      <c r="G12" s="12">
        <v>0.0</v>
      </c>
      <c r="H12" s="11">
        <v>7.63</v>
      </c>
    </row>
    <row r="13">
      <c r="A13" s="9" t="s">
        <v>29</v>
      </c>
      <c r="B13" s="9" t="s">
        <v>31</v>
      </c>
      <c r="C13" s="9" t="s">
        <v>28</v>
      </c>
      <c r="D13" s="10">
        <v>1000000.0</v>
      </c>
      <c r="E13" s="11">
        <v>25.05</v>
      </c>
      <c r="F13" s="10">
        <v>1.6437374E7</v>
      </c>
      <c r="G13" s="12">
        <v>20.0</v>
      </c>
      <c r="H13" s="11">
        <v>3.81</v>
      </c>
    </row>
    <row r="14">
      <c r="A14" s="9" t="s">
        <v>32</v>
      </c>
      <c r="B14" s="9" t="s">
        <v>31</v>
      </c>
      <c r="C14" s="9" t="s">
        <v>28</v>
      </c>
      <c r="D14" s="10">
        <v>1000000.0</v>
      </c>
      <c r="E14" s="11">
        <v>64.52</v>
      </c>
      <c r="F14" s="10">
        <v>3.7704186E7</v>
      </c>
      <c r="G14" s="12">
        <v>0.0</v>
      </c>
      <c r="H14" s="11">
        <v>0.0</v>
      </c>
    </row>
    <row r="15">
      <c r="A15" s="9" t="s">
        <v>35</v>
      </c>
      <c r="B15" s="9" t="s">
        <v>31</v>
      </c>
      <c r="C15" s="9" t="s">
        <v>28</v>
      </c>
      <c r="D15" s="10">
        <v>1000000.0</v>
      </c>
      <c r="E15" s="11">
        <v>25.65</v>
      </c>
      <c r="F15" s="10">
        <v>2.5593387E7</v>
      </c>
      <c r="G15" s="12">
        <v>83.0</v>
      </c>
      <c r="H15" s="11">
        <v>0.0</v>
      </c>
    </row>
    <row r="16">
      <c r="A16" s="9" t="s">
        <v>16</v>
      </c>
      <c r="B16" s="9" t="s">
        <v>19</v>
      </c>
      <c r="C16" s="9" t="s">
        <v>33</v>
      </c>
      <c r="D16" s="10">
        <v>1000000.0</v>
      </c>
      <c r="E16" s="11">
        <v>14.35</v>
      </c>
      <c r="F16" s="10">
        <v>1.9296305E7</v>
      </c>
      <c r="G16" s="12">
        <v>17.0</v>
      </c>
      <c r="H16" s="11">
        <v>0.0</v>
      </c>
    </row>
    <row r="17">
      <c r="A17" s="9" t="s">
        <v>23</v>
      </c>
      <c r="B17" s="9" t="s">
        <v>19</v>
      </c>
      <c r="C17" s="9" t="s">
        <v>33</v>
      </c>
      <c r="D17" s="10">
        <v>1000000.0</v>
      </c>
      <c r="E17" s="11">
        <v>2.11</v>
      </c>
      <c r="F17" s="10">
        <v>3500006.0</v>
      </c>
      <c r="G17" s="12">
        <v>1.0</v>
      </c>
      <c r="H17" s="11">
        <v>0.0</v>
      </c>
    </row>
    <row r="18">
      <c r="A18" s="9" t="s">
        <v>27</v>
      </c>
      <c r="B18" s="9" t="s">
        <v>19</v>
      </c>
      <c r="C18" s="9" t="s">
        <v>33</v>
      </c>
      <c r="D18" s="10">
        <v>1000000.0</v>
      </c>
      <c r="E18" s="11">
        <v>9.85</v>
      </c>
      <c r="F18" s="10">
        <v>2000000.0</v>
      </c>
      <c r="G18" s="12">
        <v>0.0</v>
      </c>
      <c r="H18" s="11">
        <v>7.63</v>
      </c>
    </row>
    <row r="19">
      <c r="A19" s="9" t="s">
        <v>29</v>
      </c>
      <c r="B19" s="9" t="s">
        <v>31</v>
      </c>
      <c r="C19" s="9" t="s">
        <v>33</v>
      </c>
      <c r="D19" s="10">
        <v>1000000.0</v>
      </c>
      <c r="E19" s="11">
        <v>25.94</v>
      </c>
      <c r="F19" s="10">
        <v>1.0263816E7</v>
      </c>
      <c r="G19" s="12">
        <v>20.0</v>
      </c>
      <c r="H19" s="11">
        <v>3.81</v>
      </c>
    </row>
    <row r="20">
      <c r="A20" s="9" t="s">
        <v>32</v>
      </c>
      <c r="B20" s="9" t="s">
        <v>31</v>
      </c>
      <c r="C20" s="9" t="s">
        <v>33</v>
      </c>
      <c r="D20" s="10">
        <v>1000000.0</v>
      </c>
      <c r="E20" s="11">
        <v>57.93</v>
      </c>
      <c r="F20" s="10">
        <v>3.6002153E7</v>
      </c>
      <c r="G20" s="12">
        <v>0.0</v>
      </c>
      <c r="H20" s="11">
        <v>0.0</v>
      </c>
    </row>
    <row r="21" ht="15.75" customHeight="1">
      <c r="A21" s="9" t="s">
        <v>35</v>
      </c>
      <c r="B21" s="9" t="s">
        <v>31</v>
      </c>
      <c r="C21" s="9" t="s">
        <v>33</v>
      </c>
      <c r="D21" s="10">
        <v>1000000.0</v>
      </c>
      <c r="E21" s="11">
        <v>20.68</v>
      </c>
      <c r="F21" s="10">
        <v>1.8582482E7</v>
      </c>
      <c r="G21" s="12">
        <v>29.0</v>
      </c>
      <c r="H21" s="11">
        <v>0.0</v>
      </c>
    </row>
    <row r="22" ht="15.75" customHeight="1">
      <c r="A22" s="9" t="s">
        <v>16</v>
      </c>
      <c r="B22" s="9" t="s">
        <v>19</v>
      </c>
      <c r="C22" s="9" t="s">
        <v>36</v>
      </c>
      <c r="D22" s="10">
        <v>1000000.0</v>
      </c>
      <c r="E22" s="11">
        <v>46.64</v>
      </c>
      <c r="F22" s="10">
        <v>2.1048629E7</v>
      </c>
      <c r="G22" s="12">
        <v>13.0</v>
      </c>
      <c r="H22" s="11">
        <v>0.0</v>
      </c>
    </row>
    <row r="23" ht="15.75" customHeight="1">
      <c r="A23" s="9" t="s">
        <v>23</v>
      </c>
      <c r="B23" s="9" t="s">
        <v>19</v>
      </c>
      <c r="C23" s="9" t="s">
        <v>36</v>
      </c>
      <c r="D23" s="10">
        <v>1000000.0</v>
      </c>
      <c r="E23" s="11">
        <v>38.37</v>
      </c>
      <c r="F23" s="10">
        <v>1.2615859E7</v>
      </c>
      <c r="G23" s="12">
        <v>12.0</v>
      </c>
      <c r="H23" s="11">
        <v>0.0</v>
      </c>
    </row>
    <row r="24" ht="15.75" customHeight="1">
      <c r="A24" s="9" t="s">
        <v>27</v>
      </c>
      <c r="B24" s="9" t="s">
        <v>19</v>
      </c>
      <c r="C24" s="9" t="s">
        <v>36</v>
      </c>
      <c r="D24" s="10">
        <v>1000000.0</v>
      </c>
      <c r="E24" s="11">
        <v>2.21</v>
      </c>
      <c r="F24" s="10">
        <v>2000000.0</v>
      </c>
      <c r="G24" s="12">
        <v>0.0</v>
      </c>
      <c r="H24" s="11">
        <v>0.01</v>
      </c>
    </row>
    <row r="25" ht="15.75" customHeight="1">
      <c r="A25" s="9" t="s">
        <v>29</v>
      </c>
      <c r="B25" s="9" t="s">
        <v>31</v>
      </c>
      <c r="C25" s="9" t="s">
        <v>36</v>
      </c>
      <c r="D25" s="10">
        <v>1000000.0</v>
      </c>
      <c r="E25" s="11">
        <v>71.76</v>
      </c>
      <c r="F25" s="10">
        <v>1.8670987E7</v>
      </c>
      <c r="G25" s="12">
        <v>20.0</v>
      </c>
      <c r="H25" s="11">
        <v>3.81</v>
      </c>
    </row>
    <row r="26" ht="15.75" customHeight="1">
      <c r="A26" s="9" t="s">
        <v>32</v>
      </c>
      <c r="B26" s="9" t="s">
        <v>31</v>
      </c>
      <c r="C26" s="9" t="s">
        <v>36</v>
      </c>
      <c r="D26" s="10">
        <v>1000000.0</v>
      </c>
      <c r="E26" s="11">
        <v>94.54</v>
      </c>
      <c r="F26" s="10">
        <v>3.677594E7</v>
      </c>
      <c r="G26" s="12">
        <v>0.0</v>
      </c>
      <c r="H26" s="11">
        <v>0.0</v>
      </c>
    </row>
    <row r="27" ht="15.75" customHeight="1">
      <c r="A27" s="9" t="s">
        <v>35</v>
      </c>
      <c r="B27" s="9" t="s">
        <v>31</v>
      </c>
      <c r="C27" s="9" t="s">
        <v>36</v>
      </c>
      <c r="D27" s="10">
        <v>1000000.0</v>
      </c>
      <c r="E27" s="11">
        <v>246.44</v>
      </c>
      <c r="F27" s="10">
        <v>5.12870978E8</v>
      </c>
      <c r="G27" s="12">
        <v>1112.0</v>
      </c>
      <c r="H27" s="11">
        <v>0.0</v>
      </c>
    </row>
    <row r="28" ht="15.75" customHeight="1">
      <c r="A28" s="9" t="s">
        <v>16</v>
      </c>
      <c r="B28" s="9" t="s">
        <v>19</v>
      </c>
      <c r="C28" s="9" t="s">
        <v>20</v>
      </c>
      <c r="D28" s="10">
        <v>1.0E8</v>
      </c>
      <c r="E28" s="11">
        <v>9853.18</v>
      </c>
      <c r="F28" s="10">
        <v>2.968822575E9</v>
      </c>
      <c r="G28" s="12">
        <v>18.0</v>
      </c>
      <c r="H28" s="11">
        <v>0.0</v>
      </c>
    </row>
    <row r="29" ht="15.75" customHeight="1">
      <c r="A29" s="9" t="s">
        <v>23</v>
      </c>
      <c r="B29" s="9" t="s">
        <v>19</v>
      </c>
      <c r="C29" s="9" t="s">
        <v>20</v>
      </c>
      <c r="D29" s="10">
        <v>1.0E8</v>
      </c>
      <c r="E29" s="11">
        <v>10157.52</v>
      </c>
      <c r="F29" s="10">
        <v>3.104604878E9</v>
      </c>
      <c r="G29" s="12">
        <v>35.0</v>
      </c>
      <c r="H29" s="11">
        <v>0.0</v>
      </c>
    </row>
    <row r="30" ht="15.75" customHeight="1">
      <c r="A30" s="9" t="s">
        <v>27</v>
      </c>
      <c r="B30" s="9" t="s">
        <v>19</v>
      </c>
      <c r="C30" s="9" t="s">
        <v>20</v>
      </c>
      <c r="D30" s="10">
        <v>1.0E8</v>
      </c>
      <c r="E30" s="11">
        <v>4055.94</v>
      </c>
      <c r="F30" s="10">
        <v>2.0E8</v>
      </c>
      <c r="G30" s="12">
        <v>0.0</v>
      </c>
      <c r="H30" s="11">
        <v>762.94</v>
      </c>
    </row>
    <row r="31" ht="15.75" customHeight="1">
      <c r="A31" s="9" t="s">
        <v>29</v>
      </c>
      <c r="B31" s="9" t="s">
        <v>31</v>
      </c>
      <c r="C31" s="9" t="s">
        <v>20</v>
      </c>
      <c r="D31" s="10">
        <v>1.0E8</v>
      </c>
      <c r="E31" s="11">
        <v>12654.04</v>
      </c>
      <c r="F31" s="10">
        <v>2.532923647E9</v>
      </c>
      <c r="G31" s="12">
        <v>27.0</v>
      </c>
      <c r="H31" s="11">
        <v>381.47</v>
      </c>
    </row>
    <row r="32" ht="15.75" customHeight="1">
      <c r="A32" s="9" t="s">
        <v>32</v>
      </c>
      <c r="B32" s="9" t="s">
        <v>31</v>
      </c>
      <c r="C32" s="9" t="s">
        <v>20</v>
      </c>
      <c r="D32" s="10">
        <v>1.0E8</v>
      </c>
      <c r="E32" s="11">
        <v>28907.63</v>
      </c>
      <c r="F32" s="10">
        <v>5.012885387E9</v>
      </c>
      <c r="G32" s="12">
        <v>0.0</v>
      </c>
      <c r="H32" s="11">
        <v>0.0</v>
      </c>
    </row>
    <row r="33" ht="15.75" customHeight="1">
      <c r="A33" s="9" t="s">
        <v>35</v>
      </c>
      <c r="B33" s="9" t="s">
        <v>31</v>
      </c>
      <c r="C33" s="9" t="s">
        <v>20</v>
      </c>
      <c r="D33" s="10">
        <v>1.0E8</v>
      </c>
      <c r="E33" s="11">
        <v>8698.53</v>
      </c>
      <c r="F33" s="10">
        <v>3.389431225E9</v>
      </c>
      <c r="G33" s="12">
        <v>67.0</v>
      </c>
      <c r="H33" s="11">
        <v>0.0</v>
      </c>
    </row>
    <row r="34" ht="15.75" customHeight="1">
      <c r="A34" s="9" t="s">
        <v>16</v>
      </c>
      <c r="B34" s="9" t="s">
        <v>19</v>
      </c>
      <c r="C34" s="9" t="s">
        <v>28</v>
      </c>
      <c r="D34" s="10">
        <v>1.0E8</v>
      </c>
      <c r="E34" s="11">
        <v>2034.64</v>
      </c>
      <c r="F34" s="10">
        <v>2.641001849E9</v>
      </c>
      <c r="G34" s="12">
        <v>23.0</v>
      </c>
      <c r="H34" s="11">
        <v>0.0</v>
      </c>
    </row>
    <row r="35" ht="15.75" customHeight="1">
      <c r="A35" s="9" t="s">
        <v>23</v>
      </c>
      <c r="B35" s="9" t="s">
        <v>19</v>
      </c>
      <c r="C35" s="9" t="s">
        <v>28</v>
      </c>
      <c r="D35" s="10">
        <v>1.0E8</v>
      </c>
      <c r="E35" s="11">
        <v>1474.29</v>
      </c>
      <c r="F35" s="10">
        <v>2.311483634E9</v>
      </c>
      <c r="G35" s="12">
        <v>28.0</v>
      </c>
      <c r="H35" s="11">
        <v>0.0</v>
      </c>
    </row>
    <row r="36" ht="15.75" customHeight="1">
      <c r="A36" s="9" t="s">
        <v>27</v>
      </c>
      <c r="B36" s="9" t="s">
        <v>19</v>
      </c>
      <c r="C36" s="9" t="s">
        <v>28</v>
      </c>
      <c r="D36" s="10">
        <v>1.0E8</v>
      </c>
      <c r="E36" s="11">
        <v>1076.45</v>
      </c>
      <c r="F36" s="10">
        <v>2.0E8</v>
      </c>
      <c r="G36" s="12">
        <v>0.0</v>
      </c>
      <c r="H36" s="11">
        <v>762.94</v>
      </c>
    </row>
    <row r="37" ht="15.75" customHeight="1">
      <c r="A37" s="9" t="s">
        <v>29</v>
      </c>
      <c r="B37" s="9" t="s">
        <v>31</v>
      </c>
      <c r="C37" s="9" t="s">
        <v>28</v>
      </c>
      <c r="D37" s="10">
        <v>1.0E8</v>
      </c>
      <c r="E37" s="11">
        <v>3262.32</v>
      </c>
      <c r="F37" s="10">
        <v>2.303890896E9</v>
      </c>
      <c r="G37" s="12">
        <v>27.0</v>
      </c>
      <c r="H37" s="11">
        <v>381.47</v>
      </c>
    </row>
    <row r="38" ht="15.75" customHeight="1">
      <c r="A38" s="9" t="s">
        <v>32</v>
      </c>
      <c r="B38" s="9" t="s">
        <v>31</v>
      </c>
      <c r="C38" s="9" t="s">
        <v>28</v>
      </c>
      <c r="D38" s="10">
        <v>1.0E8</v>
      </c>
      <c r="E38" s="11">
        <v>7402.48</v>
      </c>
      <c r="F38" s="10">
        <v>5.115790973E9</v>
      </c>
      <c r="G38" s="12">
        <v>0.0</v>
      </c>
      <c r="H38" s="11">
        <v>0.0</v>
      </c>
    </row>
    <row r="39" ht="15.75" customHeight="1">
      <c r="A39" s="9" t="s">
        <v>35</v>
      </c>
      <c r="B39" s="9" t="s">
        <v>31</v>
      </c>
      <c r="C39" s="9" t="s">
        <v>28</v>
      </c>
      <c r="D39" s="10">
        <v>1.0E8</v>
      </c>
      <c r="E39" s="11">
        <v>3492.91</v>
      </c>
      <c r="F39" s="10">
        <v>4.145189294E9</v>
      </c>
      <c r="G39" s="12">
        <v>190.0</v>
      </c>
      <c r="H39" s="11">
        <v>0.0</v>
      </c>
    </row>
    <row r="40" ht="15.75" customHeight="1">
      <c r="A40" s="9" t="s">
        <v>16</v>
      </c>
      <c r="B40" s="9" t="s">
        <v>19</v>
      </c>
      <c r="C40" s="9" t="s">
        <v>33</v>
      </c>
      <c r="D40" s="10">
        <v>1.0E8</v>
      </c>
      <c r="E40" s="11">
        <v>1690.93</v>
      </c>
      <c r="F40" s="10">
        <v>2.604863029E9</v>
      </c>
      <c r="G40" s="12">
        <v>24.0</v>
      </c>
      <c r="H40" s="11">
        <v>0.0</v>
      </c>
    </row>
    <row r="41" ht="15.75" customHeight="1">
      <c r="A41" s="9" t="s">
        <v>23</v>
      </c>
      <c r="B41" s="9" t="s">
        <v>19</v>
      </c>
      <c r="C41" s="9" t="s">
        <v>33</v>
      </c>
      <c r="D41" s="10">
        <v>1.0E8</v>
      </c>
      <c r="E41" s="11">
        <v>189.51</v>
      </c>
      <c r="F41" s="10">
        <v>3.00000001E8</v>
      </c>
      <c r="G41" s="12">
        <v>1.0</v>
      </c>
      <c r="H41" s="11">
        <v>0.0</v>
      </c>
    </row>
    <row r="42" ht="15.75" customHeight="1">
      <c r="A42" s="9" t="s">
        <v>27</v>
      </c>
      <c r="B42" s="9" t="s">
        <v>19</v>
      </c>
      <c r="C42" s="9" t="s">
        <v>33</v>
      </c>
      <c r="D42" s="10">
        <v>1.0E8</v>
      </c>
      <c r="E42" s="11">
        <v>887.99</v>
      </c>
      <c r="F42" s="10">
        <v>2.0E8</v>
      </c>
      <c r="G42" s="12">
        <v>0.0</v>
      </c>
      <c r="H42" s="11">
        <v>762.94</v>
      </c>
    </row>
    <row r="43" ht="15.75" customHeight="1">
      <c r="A43" s="9" t="s">
        <v>29</v>
      </c>
      <c r="B43" s="9" t="s">
        <v>31</v>
      </c>
      <c r="C43" s="9" t="s">
        <v>33</v>
      </c>
      <c r="D43" s="10">
        <v>1.0E8</v>
      </c>
      <c r="E43" s="11">
        <v>3188.43</v>
      </c>
      <c r="F43" s="10">
        <v>1.364054534E9</v>
      </c>
      <c r="G43" s="12">
        <v>27.0</v>
      </c>
      <c r="H43" s="11">
        <v>381.47</v>
      </c>
    </row>
    <row r="44" ht="15.75" customHeight="1">
      <c r="A44" s="9" t="s">
        <v>32</v>
      </c>
      <c r="B44" s="9" t="s">
        <v>31</v>
      </c>
      <c r="C44" s="9" t="s">
        <v>33</v>
      </c>
      <c r="D44" s="10">
        <v>1.0E8</v>
      </c>
      <c r="E44" s="11">
        <v>6842.22</v>
      </c>
      <c r="F44" s="10">
        <v>4.924225375E9</v>
      </c>
      <c r="G44" s="12">
        <v>0.0</v>
      </c>
      <c r="H44" s="11">
        <v>0.0</v>
      </c>
    </row>
    <row r="45" ht="15.75" customHeight="1">
      <c r="A45" s="9" t="s">
        <v>35</v>
      </c>
      <c r="B45" s="9" t="s">
        <v>31</v>
      </c>
      <c r="C45" s="9" t="s">
        <v>33</v>
      </c>
      <c r="D45" s="10">
        <v>1.0E8</v>
      </c>
      <c r="E45" s="11">
        <v>2425.27</v>
      </c>
      <c r="F45" s="10">
        <v>2.522736699E9</v>
      </c>
      <c r="G45" s="12">
        <v>44.0</v>
      </c>
      <c r="H45" s="11">
        <v>0.0</v>
      </c>
    </row>
    <row r="46" ht="15.75" customHeight="1">
      <c r="A46" s="9" t="s">
        <v>16</v>
      </c>
      <c r="B46" s="9" t="s">
        <v>19</v>
      </c>
      <c r="C46" s="9" t="s">
        <v>36</v>
      </c>
      <c r="D46" s="10">
        <v>1.0E8</v>
      </c>
      <c r="E46" s="11">
        <v>4924.99</v>
      </c>
      <c r="F46" s="10">
        <v>2.721581709E9</v>
      </c>
      <c r="G46" s="12">
        <v>21.0</v>
      </c>
      <c r="H46" s="11">
        <v>0.0</v>
      </c>
    </row>
    <row r="47" ht="15.75" customHeight="1">
      <c r="A47" s="9" t="s">
        <v>23</v>
      </c>
      <c r="B47" s="9" t="s">
        <v>19</v>
      </c>
      <c r="C47" s="9" t="s">
        <v>36</v>
      </c>
      <c r="D47" s="10">
        <v>1.0E8</v>
      </c>
      <c r="E47" s="11">
        <v>3828.35</v>
      </c>
      <c r="F47" s="10">
        <v>1.2393072E9</v>
      </c>
      <c r="G47" s="12">
        <v>11.0</v>
      </c>
      <c r="H47" s="11">
        <v>0.0</v>
      </c>
    </row>
    <row r="48" ht="15.75" customHeight="1">
      <c r="A48" s="9" t="s">
        <v>27</v>
      </c>
      <c r="B48" s="9" t="s">
        <v>19</v>
      </c>
      <c r="C48" s="9" t="s">
        <v>36</v>
      </c>
      <c r="D48" s="10">
        <v>1.0E8</v>
      </c>
      <c r="E48" s="11">
        <v>144.43</v>
      </c>
      <c r="F48" s="10">
        <v>2.0E8</v>
      </c>
      <c r="G48" s="12">
        <v>0.0</v>
      </c>
      <c r="H48" s="11">
        <v>0.01</v>
      </c>
    </row>
    <row r="49" ht="15.75" customHeight="1">
      <c r="A49" s="9" t="s">
        <v>29</v>
      </c>
      <c r="B49" s="9" t="s">
        <v>31</v>
      </c>
      <c r="C49" s="9" t="s">
        <v>36</v>
      </c>
      <c r="D49" s="10">
        <v>1.0E8</v>
      </c>
      <c r="E49" s="11">
        <v>7797.43</v>
      </c>
      <c r="F49" s="10">
        <v>2.532187444E9</v>
      </c>
      <c r="G49" s="12">
        <v>27.0</v>
      </c>
      <c r="H49" s="11">
        <v>381.47</v>
      </c>
    </row>
    <row r="50" ht="15.75" customHeight="1">
      <c r="A50" s="9" t="s">
        <v>32</v>
      </c>
      <c r="B50" s="9" t="s">
        <v>31</v>
      </c>
      <c r="C50" s="9" t="s">
        <v>36</v>
      </c>
      <c r="D50" s="10">
        <v>1.0E8</v>
      </c>
      <c r="E50" s="11">
        <v>17157.19</v>
      </c>
      <c r="F50" s="10">
        <v>5.009558141E9</v>
      </c>
      <c r="G50" s="12">
        <v>0.0</v>
      </c>
      <c r="H50" s="11">
        <v>0.0</v>
      </c>
    </row>
    <row r="51" ht="15.75" customHeight="1">
      <c r="A51" s="9" t="s">
        <v>35</v>
      </c>
      <c r="B51" s="9" t="s">
        <v>31</v>
      </c>
      <c r="C51" s="9" t="s">
        <v>36</v>
      </c>
      <c r="D51" s="10">
        <v>1.0E8</v>
      </c>
      <c r="E51" s="14" t="s">
        <v>53</v>
      </c>
      <c r="F51" s="15"/>
      <c r="G51" s="15"/>
      <c r="H51" s="15"/>
      <c r="I51" s="16" t="s">
        <v>54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3" width="16.0"/>
    <col customWidth="1" min="4" max="4" width="23.29"/>
    <col customWidth="1" min="5" max="5" width="16.0"/>
    <col customWidth="1" min="6" max="6" width="4.0"/>
    <col customWidth="1" min="7" max="26" width="8.71"/>
  </cols>
  <sheetData>
    <row r="1">
      <c r="A1" s="3" t="s">
        <v>59</v>
      </c>
    </row>
    <row r="3">
      <c r="A3" s="19" t="s">
        <v>60</v>
      </c>
    </row>
    <row r="4">
      <c r="A4" s="20"/>
      <c r="B4" s="20"/>
      <c r="C4" s="20"/>
      <c r="D4" s="20"/>
      <c r="E4" s="20"/>
    </row>
    <row r="5">
      <c r="A5" s="7" t="s">
        <v>3</v>
      </c>
      <c r="B5" s="7" t="s">
        <v>20</v>
      </c>
      <c r="C5" s="7" t="s">
        <v>28</v>
      </c>
      <c r="D5" s="7" t="s">
        <v>33</v>
      </c>
      <c r="E5" s="7" t="s">
        <v>36</v>
      </c>
    </row>
    <row r="6">
      <c r="A6" s="14" t="s">
        <v>16</v>
      </c>
      <c r="B6" s="11">
        <f>IF(COUNTIFS('Sorting Data'!$A$4:$A$51,$A6,'Sorting Data'!$C$4:$C$51,B$5,'Sorting Data'!$D$4:$D$51,1000000,'Sorting Data'!$E$4:$E$51,"skipped")&gt;0,"skipped",SUMIFS('Sorting Data'!$E$4:$E$51,'Sorting Data'!$A$4:$A$51,$A6,'Sorting Data'!$C$4:$C$51,B$5,'Sorting Data'!$D$4:$D$51,1000000))</f>
        <v>73.94</v>
      </c>
      <c r="C6" s="11">
        <f>IF(COUNTIFS('Sorting Data'!$A$4:$A$51,$A6,'Sorting Data'!$C$4:$C$51,C$5,'Sorting Data'!$D$4:$D$51,1000000,'Sorting Data'!$E$4:$E$51,"skipped")&gt;0,"skipped",SUMIFS('Sorting Data'!$E$4:$E$51,'Sorting Data'!$A$4:$A$51,$A6,'Sorting Data'!$C$4:$C$51,C$5,'Sorting Data'!$D$4:$D$51,1000000))</f>
        <v>17.37</v>
      </c>
      <c r="D6" s="11">
        <f>IF(COUNTIFS('Sorting Data'!$A$4:$A$51,$A6,'Sorting Data'!$C$4:$C$51,D$5,'Sorting Data'!$D$4:$D$51,1000000,'Sorting Data'!$E$4:$E$51,"skipped")&gt;0,"skipped",SUMIFS('Sorting Data'!$E$4:$E$51,'Sorting Data'!$A$4:$A$51,$A6,'Sorting Data'!$C$4:$C$51,D$5,'Sorting Data'!$D$4:$D$51,1000000))</f>
        <v>14.35</v>
      </c>
      <c r="E6" s="11">
        <f>IF(COUNTIFS('Sorting Data'!$A$4:$A$51,$A6,'Sorting Data'!$C$4:$C$51,E$5,'Sorting Data'!$D$4:$D$51,1000000,'Sorting Data'!$E$4:$E$51,"skipped")&gt;0,"skipped",SUMIFS('Sorting Data'!$E$4:$E$51,'Sorting Data'!$A$4:$A$51,$A6,'Sorting Data'!$C$4:$C$51,E$5,'Sorting Data'!$D$4:$D$51,1000000))</f>
        <v>46.64</v>
      </c>
    </row>
    <row r="7">
      <c r="A7" s="14" t="s">
        <v>23</v>
      </c>
      <c r="B7" s="11">
        <f>IF(COUNTIFS('Sorting Data'!$A$4:$A$51,$A7,'Sorting Data'!$C$4:$C$51,B$5,'Sorting Data'!$D$4:$D$51,1000000,'Sorting Data'!$E$4:$E$51,"skipped")&gt;0,"skipped",SUMIFS('Sorting Data'!$E$4:$E$51,'Sorting Data'!$A$4:$A$51,$A7,'Sorting Data'!$C$4:$C$51,B$5,'Sorting Data'!$D$4:$D$51,1000000))</f>
        <v>72.12</v>
      </c>
      <c r="C7" s="11">
        <f>IF(COUNTIFS('Sorting Data'!$A$4:$A$51,$A7,'Sorting Data'!$C$4:$C$51,C$5,'Sorting Data'!$D$4:$D$51,1000000,'Sorting Data'!$E$4:$E$51,"skipped")&gt;0,"skipped",SUMIFS('Sorting Data'!$E$4:$E$51,'Sorting Data'!$A$4:$A$51,$A7,'Sorting Data'!$C$4:$C$51,C$5,'Sorting Data'!$D$4:$D$51,1000000))</f>
        <v>10.9</v>
      </c>
      <c r="D7" s="11">
        <f>IF(COUNTIFS('Sorting Data'!$A$4:$A$51,$A7,'Sorting Data'!$C$4:$C$51,D$5,'Sorting Data'!$D$4:$D$51,1000000,'Sorting Data'!$E$4:$E$51,"skipped")&gt;0,"skipped",SUMIFS('Sorting Data'!$E$4:$E$51,'Sorting Data'!$A$4:$A$51,$A7,'Sorting Data'!$C$4:$C$51,D$5,'Sorting Data'!$D$4:$D$51,1000000))</f>
        <v>2.11</v>
      </c>
      <c r="E7" s="11">
        <f>IF(COUNTIFS('Sorting Data'!$A$4:$A$51,$A7,'Sorting Data'!$C$4:$C$51,E$5,'Sorting Data'!$D$4:$D$51,1000000,'Sorting Data'!$E$4:$E$51,"skipped")&gt;0,"skipped",SUMIFS('Sorting Data'!$E$4:$E$51,'Sorting Data'!$A$4:$A$51,$A7,'Sorting Data'!$C$4:$C$51,E$5,'Sorting Data'!$D$4:$D$51,1000000))</f>
        <v>38.37</v>
      </c>
    </row>
    <row r="8">
      <c r="A8" s="14" t="s">
        <v>27</v>
      </c>
      <c r="B8" s="11">
        <f>IF(COUNTIFS('Sorting Data'!$A$4:$A$51,$A8,'Sorting Data'!$C$4:$C$51,B$5,'Sorting Data'!$D$4:$D$51,1000000,'Sorting Data'!$E$4:$E$51,"skipped")&gt;0,"skipped",SUMIFS('Sorting Data'!$E$4:$E$51,'Sorting Data'!$A$4:$A$51,$A8,'Sorting Data'!$C$4:$C$51,B$5,'Sorting Data'!$D$4:$D$51,1000000))</f>
        <v>16.34</v>
      </c>
      <c r="C8" s="11">
        <f>IF(COUNTIFS('Sorting Data'!$A$4:$A$51,$A8,'Sorting Data'!$C$4:$C$51,C$5,'Sorting Data'!$D$4:$D$51,1000000,'Sorting Data'!$E$4:$E$51,"skipped")&gt;0,"skipped",SUMIFS('Sorting Data'!$E$4:$E$51,'Sorting Data'!$A$4:$A$51,$A8,'Sorting Data'!$C$4:$C$51,C$5,'Sorting Data'!$D$4:$D$51,1000000))</f>
        <v>10.17</v>
      </c>
      <c r="D8" s="11">
        <f>IF(COUNTIFS('Sorting Data'!$A$4:$A$51,$A8,'Sorting Data'!$C$4:$C$51,D$5,'Sorting Data'!$D$4:$D$51,1000000,'Sorting Data'!$E$4:$E$51,"skipped")&gt;0,"skipped",SUMIFS('Sorting Data'!$E$4:$E$51,'Sorting Data'!$A$4:$A$51,$A8,'Sorting Data'!$C$4:$C$51,D$5,'Sorting Data'!$D$4:$D$51,1000000))</f>
        <v>9.85</v>
      </c>
      <c r="E8" s="11">
        <f>IF(COUNTIFS('Sorting Data'!$A$4:$A$51,$A8,'Sorting Data'!$C$4:$C$51,E$5,'Sorting Data'!$D$4:$D$51,1000000,'Sorting Data'!$E$4:$E$51,"skipped")&gt;0,"skipped",SUMIFS('Sorting Data'!$E$4:$E$51,'Sorting Data'!$A$4:$A$51,$A8,'Sorting Data'!$C$4:$C$51,E$5,'Sorting Data'!$D$4:$D$51,1000000))</f>
        <v>2.21</v>
      </c>
    </row>
    <row r="9">
      <c r="A9" s="14" t="s">
        <v>29</v>
      </c>
      <c r="B9" s="11">
        <f>IF(COUNTIFS('Sorting Data'!$A$4:$A$51,$A9,'Sorting Data'!$C$4:$C$51,B$5,'Sorting Data'!$D$4:$D$51,1000000,'Sorting Data'!$E$4:$E$51,"skipped")&gt;0,"skipped",SUMIFS('Sorting Data'!$E$4:$E$51,'Sorting Data'!$A$4:$A$51,$A9,'Sorting Data'!$C$4:$C$51,B$5,'Sorting Data'!$D$4:$D$51,1000000))</f>
        <v>96.32</v>
      </c>
      <c r="C9" s="11">
        <f>IF(COUNTIFS('Sorting Data'!$A$4:$A$51,$A9,'Sorting Data'!$C$4:$C$51,C$5,'Sorting Data'!$D$4:$D$51,1000000,'Sorting Data'!$E$4:$E$51,"skipped")&gt;0,"skipped",SUMIFS('Sorting Data'!$E$4:$E$51,'Sorting Data'!$A$4:$A$51,$A9,'Sorting Data'!$C$4:$C$51,C$5,'Sorting Data'!$D$4:$D$51,1000000))</f>
        <v>25.05</v>
      </c>
      <c r="D9" s="11">
        <f>IF(COUNTIFS('Sorting Data'!$A$4:$A$51,$A9,'Sorting Data'!$C$4:$C$51,D$5,'Sorting Data'!$D$4:$D$51,1000000,'Sorting Data'!$E$4:$E$51,"skipped")&gt;0,"skipped",SUMIFS('Sorting Data'!$E$4:$E$51,'Sorting Data'!$A$4:$A$51,$A9,'Sorting Data'!$C$4:$C$51,D$5,'Sorting Data'!$D$4:$D$51,1000000))</f>
        <v>25.94</v>
      </c>
      <c r="E9" s="11">
        <f>IF(COUNTIFS('Sorting Data'!$A$4:$A$51,$A9,'Sorting Data'!$C$4:$C$51,E$5,'Sorting Data'!$D$4:$D$51,1000000,'Sorting Data'!$E$4:$E$51,"skipped")&gt;0,"skipped",SUMIFS('Sorting Data'!$E$4:$E$51,'Sorting Data'!$A$4:$A$51,$A9,'Sorting Data'!$C$4:$C$51,E$5,'Sorting Data'!$D$4:$D$51,1000000))</f>
        <v>71.76</v>
      </c>
    </row>
    <row r="10">
      <c r="A10" s="14" t="s">
        <v>32</v>
      </c>
      <c r="B10" s="11">
        <f>IF(COUNTIFS('Sorting Data'!$A$4:$A$51,$A10,'Sorting Data'!$C$4:$C$51,B$5,'Sorting Data'!$D$4:$D$51,1000000,'Sorting Data'!$E$4:$E$51,"skipped")&gt;0,"skipped",SUMIFS('Sorting Data'!$E$4:$E$51,'Sorting Data'!$A$4:$A$51,$A10,'Sorting Data'!$C$4:$C$51,B$5,'Sorting Data'!$D$4:$D$51,1000000))</f>
        <v>118.77</v>
      </c>
      <c r="C10" s="11">
        <f>IF(COUNTIFS('Sorting Data'!$A$4:$A$51,$A10,'Sorting Data'!$C$4:$C$51,C$5,'Sorting Data'!$D$4:$D$51,1000000,'Sorting Data'!$E$4:$E$51,"skipped")&gt;0,"skipped",SUMIFS('Sorting Data'!$E$4:$E$51,'Sorting Data'!$A$4:$A$51,$A10,'Sorting Data'!$C$4:$C$51,C$5,'Sorting Data'!$D$4:$D$51,1000000))</f>
        <v>64.52</v>
      </c>
      <c r="D10" s="11">
        <f>IF(COUNTIFS('Sorting Data'!$A$4:$A$51,$A10,'Sorting Data'!$C$4:$C$51,D$5,'Sorting Data'!$D$4:$D$51,1000000,'Sorting Data'!$E$4:$E$51,"skipped")&gt;0,"skipped",SUMIFS('Sorting Data'!$E$4:$E$51,'Sorting Data'!$A$4:$A$51,$A10,'Sorting Data'!$C$4:$C$51,D$5,'Sorting Data'!$D$4:$D$51,1000000))</f>
        <v>57.93</v>
      </c>
      <c r="E10" s="11">
        <f>IF(COUNTIFS('Sorting Data'!$A$4:$A$51,$A10,'Sorting Data'!$C$4:$C$51,E$5,'Sorting Data'!$D$4:$D$51,1000000,'Sorting Data'!$E$4:$E$51,"skipped")&gt;0,"skipped",SUMIFS('Sorting Data'!$E$4:$E$51,'Sorting Data'!$A$4:$A$51,$A10,'Sorting Data'!$C$4:$C$51,E$5,'Sorting Data'!$D$4:$D$51,1000000))</f>
        <v>94.54</v>
      </c>
    </row>
    <row r="11">
      <c r="A11" s="14" t="s">
        <v>35</v>
      </c>
      <c r="B11" s="11">
        <f>IF(COUNTIFS('Sorting Data'!$A$4:$A$51,$A11,'Sorting Data'!$C$4:$C$51,B$5,'Sorting Data'!$D$4:$D$51,1000000,'Sorting Data'!$E$4:$E$51,"skipped")&gt;0,"skipped",SUMIFS('Sorting Data'!$E$4:$E$51,'Sorting Data'!$A$4:$A$51,$A11,'Sorting Data'!$C$4:$C$51,B$5,'Sorting Data'!$D$4:$D$51,1000000))</f>
        <v>66.72</v>
      </c>
      <c r="C11" s="11">
        <f>IF(COUNTIFS('Sorting Data'!$A$4:$A$51,$A11,'Sorting Data'!$C$4:$C$51,C$5,'Sorting Data'!$D$4:$D$51,1000000,'Sorting Data'!$E$4:$E$51,"skipped")&gt;0,"skipped",SUMIFS('Sorting Data'!$E$4:$E$51,'Sorting Data'!$A$4:$A$51,$A11,'Sorting Data'!$C$4:$C$51,C$5,'Sorting Data'!$D$4:$D$51,1000000))</f>
        <v>25.65</v>
      </c>
      <c r="D11" s="11">
        <f>IF(COUNTIFS('Sorting Data'!$A$4:$A$51,$A11,'Sorting Data'!$C$4:$C$51,D$5,'Sorting Data'!$D$4:$D$51,1000000,'Sorting Data'!$E$4:$E$51,"skipped")&gt;0,"skipped",SUMIFS('Sorting Data'!$E$4:$E$51,'Sorting Data'!$A$4:$A$51,$A11,'Sorting Data'!$C$4:$C$51,D$5,'Sorting Data'!$D$4:$D$51,1000000))</f>
        <v>20.68</v>
      </c>
      <c r="E11" s="11">
        <f>IF(COUNTIFS('Sorting Data'!$A$4:$A$51,$A11,'Sorting Data'!$C$4:$C$51,E$5,'Sorting Data'!$D$4:$D$51,1000000,'Sorting Data'!$E$4:$E$51,"skipped")&gt;0,"skipped",SUMIFS('Sorting Data'!$E$4:$E$51,'Sorting Data'!$A$4:$A$51,$A11,'Sorting Data'!$C$4:$C$51,E$5,'Sorting Data'!$D$4:$D$51,1000000))</f>
        <v>246.44</v>
      </c>
    </row>
    <row r="12">
      <c r="A12" s="36"/>
      <c r="B12" s="36"/>
      <c r="C12" s="36"/>
      <c r="D12" s="36"/>
      <c r="E12" s="36"/>
    </row>
    <row r="13">
      <c r="A13" s="37" t="s">
        <v>91</v>
      </c>
      <c r="B13" s="36"/>
      <c r="C13" s="36"/>
      <c r="D13" s="36"/>
      <c r="E13" s="36"/>
    </row>
    <row r="14">
      <c r="A14" s="20"/>
      <c r="B14" s="20"/>
      <c r="C14" s="20"/>
      <c r="D14" s="20"/>
      <c r="E14" s="20"/>
    </row>
    <row r="15">
      <c r="A15" s="7" t="s">
        <v>3</v>
      </c>
      <c r="B15" s="7" t="s">
        <v>20</v>
      </c>
      <c r="C15" s="7" t="s">
        <v>28</v>
      </c>
      <c r="D15" s="7" t="s">
        <v>33</v>
      </c>
      <c r="E15" s="7" t="s">
        <v>36</v>
      </c>
    </row>
    <row r="16">
      <c r="A16" s="14" t="s">
        <v>16</v>
      </c>
      <c r="B16" s="11">
        <f>IF(COUNTIFS('Sorting Data'!$A$4:$A$51,$A16,'Sorting Data'!$C$4:$C$51,B$15,'Sorting Data'!$D$4:$D$51,100000000,'Sorting Data'!$E$4:$E$51,"skipped")&gt;0,"skipped",SUMIFS('Sorting Data'!$E$4:$E$51,'Sorting Data'!$A$4:$A$51,$A16,'Sorting Data'!$C$4:$C$51,B$15,'Sorting Data'!$D$4:$D$51,100000000))</f>
        <v>9853.18</v>
      </c>
      <c r="C16" s="11">
        <f>IF(COUNTIFS('Sorting Data'!$A$4:$A$51,$A16,'Sorting Data'!$C$4:$C$51,C$15,'Sorting Data'!$D$4:$D$51,100000000,'Sorting Data'!$E$4:$E$51,"skipped")&gt;0,"skipped",SUMIFS('Sorting Data'!$E$4:$E$51,'Sorting Data'!$A$4:$A$51,$A16,'Sorting Data'!$C$4:$C$51,C$15,'Sorting Data'!$D$4:$D$51,100000000))</f>
        <v>2034.64</v>
      </c>
      <c r="D16" s="11">
        <f>IF(COUNTIFS('Sorting Data'!$A$4:$A$51,$A16,'Sorting Data'!$C$4:$C$51,D$15,'Sorting Data'!$D$4:$D$51,100000000,'Sorting Data'!$E$4:$E$51,"skipped")&gt;0,"skipped",SUMIFS('Sorting Data'!$E$4:$E$51,'Sorting Data'!$A$4:$A$51,$A16,'Sorting Data'!$C$4:$C$51,D$15,'Sorting Data'!$D$4:$D$51,100000000))</f>
        <v>1690.93</v>
      </c>
      <c r="E16" s="11">
        <f>IF(COUNTIFS('Sorting Data'!$A$4:$A$51,$A16,'Sorting Data'!$C$4:$C$51,E$15,'Sorting Data'!$D$4:$D$51,100000000,'Sorting Data'!$E$4:$E$51,"skipped")&gt;0,"skipped",SUMIFS('Sorting Data'!$E$4:$E$51,'Sorting Data'!$A$4:$A$51,$A16,'Sorting Data'!$C$4:$C$51,E$15,'Sorting Data'!$D$4:$D$51,100000000))</f>
        <v>4924.99</v>
      </c>
    </row>
    <row r="17">
      <c r="A17" s="14" t="s">
        <v>23</v>
      </c>
      <c r="B17" s="11">
        <f>IF(COUNTIFS('Sorting Data'!$A$4:$A$51,$A17,'Sorting Data'!$C$4:$C$51,B$15,'Sorting Data'!$D$4:$D$51,100000000,'Sorting Data'!$E$4:$E$51,"skipped")&gt;0,"skipped",SUMIFS('Sorting Data'!$E$4:$E$51,'Sorting Data'!$A$4:$A$51,$A17,'Sorting Data'!$C$4:$C$51,B$15,'Sorting Data'!$D$4:$D$51,100000000))</f>
        <v>10157.52</v>
      </c>
      <c r="C17" s="11">
        <f>IF(COUNTIFS('Sorting Data'!$A$4:$A$51,$A17,'Sorting Data'!$C$4:$C$51,C$15,'Sorting Data'!$D$4:$D$51,100000000,'Sorting Data'!$E$4:$E$51,"skipped")&gt;0,"skipped",SUMIFS('Sorting Data'!$E$4:$E$51,'Sorting Data'!$A$4:$A$51,$A17,'Sorting Data'!$C$4:$C$51,C$15,'Sorting Data'!$D$4:$D$51,100000000))</f>
        <v>1474.29</v>
      </c>
      <c r="D17" s="11">
        <f>IF(COUNTIFS('Sorting Data'!$A$4:$A$51,$A17,'Sorting Data'!$C$4:$C$51,D$15,'Sorting Data'!$D$4:$D$51,100000000,'Sorting Data'!$E$4:$E$51,"skipped")&gt;0,"skipped",SUMIFS('Sorting Data'!$E$4:$E$51,'Sorting Data'!$A$4:$A$51,$A17,'Sorting Data'!$C$4:$C$51,D$15,'Sorting Data'!$D$4:$D$51,100000000))</f>
        <v>189.51</v>
      </c>
      <c r="E17" s="11">
        <f>IF(COUNTIFS('Sorting Data'!$A$4:$A$51,$A17,'Sorting Data'!$C$4:$C$51,E$15,'Sorting Data'!$D$4:$D$51,100000000,'Sorting Data'!$E$4:$E$51,"skipped")&gt;0,"skipped",SUMIFS('Sorting Data'!$E$4:$E$51,'Sorting Data'!$A$4:$A$51,$A17,'Sorting Data'!$C$4:$C$51,E$15,'Sorting Data'!$D$4:$D$51,100000000))</f>
        <v>3828.35</v>
      </c>
    </row>
    <row r="18">
      <c r="A18" s="14" t="s">
        <v>27</v>
      </c>
      <c r="B18" s="11">
        <f>IF(COUNTIFS('Sorting Data'!$A$4:$A$51,$A18,'Sorting Data'!$C$4:$C$51,B$15,'Sorting Data'!$D$4:$D$51,100000000,'Sorting Data'!$E$4:$E$51,"skipped")&gt;0,"skipped",SUMIFS('Sorting Data'!$E$4:$E$51,'Sorting Data'!$A$4:$A$51,$A18,'Sorting Data'!$C$4:$C$51,B$15,'Sorting Data'!$D$4:$D$51,100000000))</f>
        <v>4055.94</v>
      </c>
      <c r="C18" s="11">
        <f>IF(COUNTIFS('Sorting Data'!$A$4:$A$51,$A18,'Sorting Data'!$C$4:$C$51,C$15,'Sorting Data'!$D$4:$D$51,100000000,'Sorting Data'!$E$4:$E$51,"skipped")&gt;0,"skipped",SUMIFS('Sorting Data'!$E$4:$E$51,'Sorting Data'!$A$4:$A$51,$A18,'Sorting Data'!$C$4:$C$51,C$15,'Sorting Data'!$D$4:$D$51,100000000))</f>
        <v>1076.45</v>
      </c>
      <c r="D18" s="11">
        <f>IF(COUNTIFS('Sorting Data'!$A$4:$A$51,$A18,'Sorting Data'!$C$4:$C$51,D$15,'Sorting Data'!$D$4:$D$51,100000000,'Sorting Data'!$E$4:$E$51,"skipped")&gt;0,"skipped",SUMIFS('Sorting Data'!$E$4:$E$51,'Sorting Data'!$A$4:$A$51,$A18,'Sorting Data'!$C$4:$C$51,D$15,'Sorting Data'!$D$4:$D$51,100000000))</f>
        <v>887.99</v>
      </c>
      <c r="E18" s="11">
        <f>IF(COUNTIFS('Sorting Data'!$A$4:$A$51,$A18,'Sorting Data'!$C$4:$C$51,E$15,'Sorting Data'!$D$4:$D$51,100000000,'Sorting Data'!$E$4:$E$51,"skipped")&gt;0,"skipped",SUMIFS('Sorting Data'!$E$4:$E$51,'Sorting Data'!$A$4:$A$51,$A18,'Sorting Data'!$C$4:$C$51,E$15,'Sorting Data'!$D$4:$D$51,100000000))</f>
        <v>144.43</v>
      </c>
    </row>
    <row r="19">
      <c r="A19" s="14" t="s">
        <v>29</v>
      </c>
      <c r="B19" s="11">
        <f>IF(COUNTIFS('Sorting Data'!$A$4:$A$51,$A19,'Sorting Data'!$C$4:$C$51,B$15,'Sorting Data'!$D$4:$D$51,100000000,'Sorting Data'!$E$4:$E$51,"skipped")&gt;0,"skipped",SUMIFS('Sorting Data'!$E$4:$E$51,'Sorting Data'!$A$4:$A$51,$A19,'Sorting Data'!$C$4:$C$51,B$15,'Sorting Data'!$D$4:$D$51,100000000))</f>
        <v>12654.04</v>
      </c>
      <c r="C19" s="11">
        <f>IF(COUNTIFS('Sorting Data'!$A$4:$A$51,$A19,'Sorting Data'!$C$4:$C$51,C$15,'Sorting Data'!$D$4:$D$51,100000000,'Sorting Data'!$E$4:$E$51,"skipped")&gt;0,"skipped",SUMIFS('Sorting Data'!$E$4:$E$51,'Sorting Data'!$A$4:$A$51,$A19,'Sorting Data'!$C$4:$C$51,C$15,'Sorting Data'!$D$4:$D$51,100000000))</f>
        <v>3262.32</v>
      </c>
      <c r="D19" s="11">
        <f>IF(COUNTIFS('Sorting Data'!$A$4:$A$51,$A19,'Sorting Data'!$C$4:$C$51,D$15,'Sorting Data'!$D$4:$D$51,100000000,'Sorting Data'!$E$4:$E$51,"skipped")&gt;0,"skipped",SUMIFS('Sorting Data'!$E$4:$E$51,'Sorting Data'!$A$4:$A$51,$A19,'Sorting Data'!$C$4:$C$51,D$15,'Sorting Data'!$D$4:$D$51,100000000))</f>
        <v>3188.43</v>
      </c>
      <c r="E19" s="11">
        <f>IF(COUNTIFS('Sorting Data'!$A$4:$A$51,$A19,'Sorting Data'!$C$4:$C$51,E$15,'Sorting Data'!$D$4:$D$51,100000000,'Sorting Data'!$E$4:$E$51,"skipped")&gt;0,"skipped",SUMIFS('Sorting Data'!$E$4:$E$51,'Sorting Data'!$A$4:$A$51,$A19,'Sorting Data'!$C$4:$C$51,E$15,'Sorting Data'!$D$4:$D$51,100000000))</f>
        <v>7797.43</v>
      </c>
    </row>
    <row r="20">
      <c r="A20" s="14" t="s">
        <v>32</v>
      </c>
      <c r="B20" s="11">
        <f>IF(COUNTIFS('Sorting Data'!$A$4:$A$51,$A20,'Sorting Data'!$C$4:$C$51,B$15,'Sorting Data'!$D$4:$D$51,100000000,'Sorting Data'!$E$4:$E$51,"skipped")&gt;0,"skipped",SUMIFS('Sorting Data'!$E$4:$E$51,'Sorting Data'!$A$4:$A$51,$A20,'Sorting Data'!$C$4:$C$51,B$15,'Sorting Data'!$D$4:$D$51,100000000))</f>
        <v>28907.63</v>
      </c>
      <c r="C20" s="11">
        <f>IF(COUNTIFS('Sorting Data'!$A$4:$A$51,$A20,'Sorting Data'!$C$4:$C$51,C$15,'Sorting Data'!$D$4:$D$51,100000000,'Sorting Data'!$E$4:$E$51,"skipped")&gt;0,"skipped",SUMIFS('Sorting Data'!$E$4:$E$51,'Sorting Data'!$A$4:$A$51,$A20,'Sorting Data'!$C$4:$C$51,C$15,'Sorting Data'!$D$4:$D$51,100000000))</f>
        <v>7402.48</v>
      </c>
      <c r="D20" s="11">
        <f>IF(COUNTIFS('Sorting Data'!$A$4:$A$51,$A20,'Sorting Data'!$C$4:$C$51,D$15,'Sorting Data'!$D$4:$D$51,100000000,'Sorting Data'!$E$4:$E$51,"skipped")&gt;0,"skipped",SUMIFS('Sorting Data'!$E$4:$E$51,'Sorting Data'!$A$4:$A$51,$A20,'Sorting Data'!$C$4:$C$51,D$15,'Sorting Data'!$D$4:$D$51,100000000))</f>
        <v>6842.22</v>
      </c>
      <c r="E20" s="11">
        <f>IF(COUNTIFS('Sorting Data'!$A$4:$A$51,$A20,'Sorting Data'!$C$4:$C$51,E$15,'Sorting Data'!$D$4:$D$51,100000000,'Sorting Data'!$E$4:$E$51,"skipped")&gt;0,"skipped",SUMIFS('Sorting Data'!$E$4:$E$51,'Sorting Data'!$A$4:$A$51,$A20,'Sorting Data'!$C$4:$C$51,E$15,'Sorting Data'!$D$4:$D$51,100000000))</f>
        <v>17157.19</v>
      </c>
    </row>
    <row r="21">
      <c r="A21" s="14" t="s">
        <v>35</v>
      </c>
      <c r="B21" s="11">
        <f>IF(COUNTIFS('Sorting Data'!$A$4:$A$51,$A21,'Sorting Data'!$C$4:$C$51,B$15,'Sorting Data'!$D$4:$D$51,100000000,'Sorting Data'!$E$4:$E$51,"skipped")&gt;0,"skipped",SUMIFS('Sorting Data'!$E$4:$E$51,'Sorting Data'!$A$4:$A$51,$A21,'Sorting Data'!$C$4:$C$51,B$15,'Sorting Data'!$D$4:$D$51,100000000))</f>
        <v>8698.53</v>
      </c>
      <c r="C21" s="11">
        <f>IF(COUNTIFS('Sorting Data'!$A$4:$A$51,$A21,'Sorting Data'!$C$4:$C$51,C$15,'Sorting Data'!$D$4:$D$51,100000000,'Sorting Data'!$E$4:$E$51,"skipped")&gt;0,"skipped",SUMIFS('Sorting Data'!$E$4:$E$51,'Sorting Data'!$A$4:$A$51,$A21,'Sorting Data'!$C$4:$C$51,C$15,'Sorting Data'!$D$4:$D$51,100000000))</f>
        <v>3492.91</v>
      </c>
      <c r="D21" s="11">
        <f>IF(COUNTIFS('Sorting Data'!$A$4:$A$51,$A21,'Sorting Data'!$C$4:$C$51,D$15,'Sorting Data'!$D$4:$D$51,100000000,'Sorting Data'!$E$4:$E$51,"skipped")&gt;0,"skipped",SUMIFS('Sorting Data'!$E$4:$E$51,'Sorting Data'!$A$4:$A$51,$A21,'Sorting Data'!$C$4:$C$51,D$15,'Sorting Data'!$D$4:$D$51,100000000))</f>
        <v>2425.27</v>
      </c>
      <c r="E21" s="11" t="str">
        <f>IF(COUNTIFS('Sorting Data'!$A$4:$A$51,$A21,'Sorting Data'!$C$4:$C$51,E$15,'Sorting Data'!$D$4:$D$51,100000000,'Sorting Data'!$E$4:$E$51,"skipped")&gt;0,"skipped",SUMIFS('Sorting Data'!$E$4:$E$51,'Sorting Data'!$A$4:$A$51,$A21,'Sorting Data'!$C$4:$C$51,E$15,'Sorting Data'!$D$4:$D$51,100000000))</f>
        <v>skipped</v>
      </c>
    </row>
    <row r="22">
      <c r="A22" s="36"/>
      <c r="B22" s="36"/>
      <c r="C22" s="36"/>
      <c r="D22" s="36"/>
      <c r="E22" s="36"/>
    </row>
    <row r="23" ht="15.75" customHeight="1">
      <c r="A23" s="37" t="s">
        <v>92</v>
      </c>
      <c r="B23" s="36"/>
      <c r="C23" s="36"/>
      <c r="D23" s="36"/>
      <c r="E23" s="36"/>
    </row>
    <row r="24" ht="15.75" customHeight="1">
      <c r="A24" s="20"/>
      <c r="B24" s="20"/>
      <c r="C24" s="20"/>
      <c r="D24" s="20"/>
      <c r="E24" s="20"/>
    </row>
    <row r="25" ht="15.75" customHeight="1">
      <c r="A25" s="7" t="s">
        <v>3</v>
      </c>
      <c r="B25" s="7" t="s">
        <v>20</v>
      </c>
      <c r="C25" s="7" t="s">
        <v>28</v>
      </c>
      <c r="D25" s="7" t="s">
        <v>33</v>
      </c>
      <c r="E25" s="7" t="s">
        <v>36</v>
      </c>
    </row>
    <row r="26" ht="15.75" customHeight="1">
      <c r="A26" s="14" t="s">
        <v>16</v>
      </c>
      <c r="B26" s="10">
        <f>IF(COUNTIFS('Sorting Data'!$A$4:$A$51,$A26,'Sorting Data'!$C$4:$C$51,B$25,'Sorting Data'!$D$4:$D$51,1000000,'Sorting Data'!$E$4:$E$51,"skipped")&gt;0,"skipped",SUMIFS('Sorting Data'!$F$4:$F$51,'Sorting Data'!$A$4:$A$51,$A26,'Sorting Data'!$C$4:$C$51,B$25,'Sorting Data'!$D$4:$D$51,1000000))</f>
        <v>22174921</v>
      </c>
      <c r="C26" s="10">
        <f>IF(COUNTIFS('Sorting Data'!$A$4:$A$51,$A26,'Sorting Data'!$C$4:$C$51,C$25,'Sorting Data'!$D$4:$D$51,1000000,'Sorting Data'!$E$4:$E$51,"skipped")&gt;0,"skipped",SUMIFS('Sorting Data'!$F$4:$F$51,'Sorting Data'!$A$4:$A$51,$A26,'Sorting Data'!$C$4:$C$51,C$25,'Sorting Data'!$D$4:$D$51,1000000))</f>
        <v>19612073</v>
      </c>
      <c r="D26" s="10">
        <f>IF(COUNTIFS('Sorting Data'!$A$4:$A$51,$A26,'Sorting Data'!$C$4:$C$51,D$25,'Sorting Data'!$D$4:$D$51,1000000,'Sorting Data'!$E$4:$E$51,"skipped")&gt;0,"skipped",SUMIFS('Sorting Data'!$F$4:$F$51,'Sorting Data'!$A$4:$A$51,$A26,'Sorting Data'!$C$4:$C$51,D$25,'Sorting Data'!$D$4:$D$51,1000000))</f>
        <v>19296305</v>
      </c>
      <c r="E26" s="10">
        <f>IF(COUNTIFS('Sorting Data'!$A$4:$A$51,$A26,'Sorting Data'!$C$4:$C$51,E$25,'Sorting Data'!$D$4:$D$51,1000000,'Sorting Data'!$E$4:$E$51,"skipped")&gt;0,"skipped",SUMIFS('Sorting Data'!$F$4:$F$51,'Sorting Data'!$A$4:$A$51,$A26,'Sorting Data'!$C$4:$C$51,E$25,'Sorting Data'!$D$4:$D$51,1000000))</f>
        <v>21048629</v>
      </c>
    </row>
    <row r="27" ht="15.75" customHeight="1">
      <c r="A27" s="14" t="s">
        <v>23</v>
      </c>
      <c r="B27" s="10">
        <f>IF(COUNTIFS('Sorting Data'!$A$4:$A$51,$A27,'Sorting Data'!$C$4:$C$51,B$25,'Sorting Data'!$D$4:$D$51,1000000,'Sorting Data'!$E$4:$E$51,"skipped")&gt;0,"skipped",SUMIFS('Sorting Data'!$F$4:$F$51,'Sorting Data'!$A$4:$A$51,$A27,'Sorting Data'!$C$4:$C$51,B$25,'Sorting Data'!$D$4:$D$51,1000000))</f>
        <v>22900121</v>
      </c>
      <c r="C27" s="10">
        <f>IF(COUNTIFS('Sorting Data'!$A$4:$A$51,$A27,'Sorting Data'!$C$4:$C$51,C$25,'Sorting Data'!$D$4:$D$51,1000000,'Sorting Data'!$E$4:$E$51,"skipped")&gt;0,"skipped",SUMIFS('Sorting Data'!$F$4:$F$51,'Sorting Data'!$A$4:$A$51,$A27,'Sorting Data'!$C$4:$C$51,C$25,'Sorting Data'!$D$4:$D$51,1000000))</f>
        <v>16242358</v>
      </c>
      <c r="D27" s="10">
        <f>IF(COUNTIFS('Sorting Data'!$A$4:$A$51,$A27,'Sorting Data'!$C$4:$C$51,D$25,'Sorting Data'!$D$4:$D$51,1000000,'Sorting Data'!$E$4:$E$51,"skipped")&gt;0,"skipped",SUMIFS('Sorting Data'!$F$4:$F$51,'Sorting Data'!$A$4:$A$51,$A27,'Sorting Data'!$C$4:$C$51,D$25,'Sorting Data'!$D$4:$D$51,1000000))</f>
        <v>3500006</v>
      </c>
      <c r="E27" s="10">
        <f>IF(COUNTIFS('Sorting Data'!$A$4:$A$51,$A27,'Sorting Data'!$C$4:$C$51,E$25,'Sorting Data'!$D$4:$D$51,1000000,'Sorting Data'!$E$4:$E$51,"skipped")&gt;0,"skipped",SUMIFS('Sorting Data'!$F$4:$F$51,'Sorting Data'!$A$4:$A$51,$A27,'Sorting Data'!$C$4:$C$51,E$25,'Sorting Data'!$D$4:$D$51,1000000))</f>
        <v>12615859</v>
      </c>
    </row>
    <row r="28" ht="15.75" customHeight="1">
      <c r="A28" s="14" t="s">
        <v>27</v>
      </c>
      <c r="B28" s="10">
        <f>IF(COUNTIFS('Sorting Data'!$A$4:$A$51,$A28,'Sorting Data'!$C$4:$C$51,B$25,'Sorting Data'!$D$4:$D$51,1000000,'Sorting Data'!$E$4:$E$51,"skipped")&gt;0,"skipped",SUMIFS('Sorting Data'!$F$4:$F$51,'Sorting Data'!$A$4:$A$51,$A28,'Sorting Data'!$C$4:$C$51,B$25,'Sorting Data'!$D$4:$D$51,1000000))</f>
        <v>2000000</v>
      </c>
      <c r="C28" s="10">
        <f>IF(COUNTIFS('Sorting Data'!$A$4:$A$51,$A28,'Sorting Data'!$C$4:$C$51,C$25,'Sorting Data'!$D$4:$D$51,1000000,'Sorting Data'!$E$4:$E$51,"skipped")&gt;0,"skipped",SUMIFS('Sorting Data'!$F$4:$F$51,'Sorting Data'!$A$4:$A$51,$A28,'Sorting Data'!$C$4:$C$51,C$25,'Sorting Data'!$D$4:$D$51,1000000))</f>
        <v>2000000</v>
      </c>
      <c r="D28" s="10">
        <f>IF(COUNTIFS('Sorting Data'!$A$4:$A$51,$A28,'Sorting Data'!$C$4:$C$51,D$25,'Sorting Data'!$D$4:$D$51,1000000,'Sorting Data'!$E$4:$E$51,"skipped")&gt;0,"skipped",SUMIFS('Sorting Data'!$F$4:$F$51,'Sorting Data'!$A$4:$A$51,$A28,'Sorting Data'!$C$4:$C$51,D$25,'Sorting Data'!$D$4:$D$51,1000000))</f>
        <v>2000000</v>
      </c>
      <c r="E28" s="10">
        <f>IF(COUNTIFS('Sorting Data'!$A$4:$A$51,$A28,'Sorting Data'!$C$4:$C$51,E$25,'Sorting Data'!$D$4:$D$51,1000000,'Sorting Data'!$E$4:$E$51,"skipped")&gt;0,"skipped",SUMIFS('Sorting Data'!$F$4:$F$51,'Sorting Data'!$A$4:$A$51,$A28,'Sorting Data'!$C$4:$C$51,E$25,'Sorting Data'!$D$4:$D$51,1000000))</f>
        <v>2000000</v>
      </c>
    </row>
    <row r="29" ht="15.75" customHeight="1">
      <c r="A29" s="14" t="s">
        <v>29</v>
      </c>
      <c r="B29" s="10">
        <f>IF(COUNTIFS('Sorting Data'!$A$4:$A$51,$A29,'Sorting Data'!$C$4:$C$51,B$25,'Sorting Data'!$D$4:$D$51,1000000,'Sorting Data'!$E$4:$E$51,"skipped")&gt;0,"skipped",SUMIFS('Sorting Data'!$F$4:$F$51,'Sorting Data'!$A$4:$A$51,$A29,'Sorting Data'!$C$4:$C$51,B$25,'Sorting Data'!$D$4:$D$51,1000000))</f>
        <v>18674876</v>
      </c>
      <c r="C29" s="10">
        <f>IF(COUNTIFS('Sorting Data'!$A$4:$A$51,$A29,'Sorting Data'!$C$4:$C$51,C$25,'Sorting Data'!$D$4:$D$51,1000000,'Sorting Data'!$E$4:$E$51,"skipped")&gt;0,"skipped",SUMIFS('Sorting Data'!$F$4:$F$51,'Sorting Data'!$A$4:$A$51,$A29,'Sorting Data'!$C$4:$C$51,C$25,'Sorting Data'!$D$4:$D$51,1000000))</f>
        <v>16437374</v>
      </c>
      <c r="D29" s="10">
        <f>IF(COUNTIFS('Sorting Data'!$A$4:$A$51,$A29,'Sorting Data'!$C$4:$C$51,D$25,'Sorting Data'!$D$4:$D$51,1000000,'Sorting Data'!$E$4:$E$51,"skipped")&gt;0,"skipped",SUMIFS('Sorting Data'!$F$4:$F$51,'Sorting Data'!$A$4:$A$51,$A29,'Sorting Data'!$C$4:$C$51,D$25,'Sorting Data'!$D$4:$D$51,1000000))</f>
        <v>10263816</v>
      </c>
      <c r="E29" s="10">
        <f>IF(COUNTIFS('Sorting Data'!$A$4:$A$51,$A29,'Sorting Data'!$C$4:$C$51,E$25,'Sorting Data'!$D$4:$D$51,1000000,'Sorting Data'!$E$4:$E$51,"skipped")&gt;0,"skipped",SUMIFS('Sorting Data'!$F$4:$F$51,'Sorting Data'!$A$4:$A$51,$A29,'Sorting Data'!$C$4:$C$51,E$25,'Sorting Data'!$D$4:$D$51,1000000))</f>
        <v>18670987</v>
      </c>
    </row>
    <row r="30" ht="15.75" customHeight="1">
      <c r="A30" s="14" t="s">
        <v>32</v>
      </c>
      <c r="B30" s="10">
        <f>IF(COUNTIFS('Sorting Data'!$A$4:$A$51,$A30,'Sorting Data'!$C$4:$C$51,B$25,'Sorting Data'!$D$4:$D$51,1000000,'Sorting Data'!$E$4:$E$51,"skipped")&gt;0,"skipped",SUMIFS('Sorting Data'!$F$4:$F$51,'Sorting Data'!$A$4:$A$51,$A30,'Sorting Data'!$C$4:$C$51,B$25,'Sorting Data'!$D$4:$D$51,1000000))</f>
        <v>36793933</v>
      </c>
      <c r="C30" s="10">
        <f>IF(COUNTIFS('Sorting Data'!$A$4:$A$51,$A30,'Sorting Data'!$C$4:$C$51,C$25,'Sorting Data'!$D$4:$D$51,1000000,'Sorting Data'!$E$4:$E$51,"skipped")&gt;0,"skipped",SUMIFS('Sorting Data'!$F$4:$F$51,'Sorting Data'!$A$4:$A$51,$A30,'Sorting Data'!$C$4:$C$51,C$25,'Sorting Data'!$D$4:$D$51,1000000))</f>
        <v>37704186</v>
      </c>
      <c r="D30" s="10">
        <f>IF(COUNTIFS('Sorting Data'!$A$4:$A$51,$A30,'Sorting Data'!$C$4:$C$51,D$25,'Sorting Data'!$D$4:$D$51,1000000,'Sorting Data'!$E$4:$E$51,"skipped")&gt;0,"skipped",SUMIFS('Sorting Data'!$F$4:$F$51,'Sorting Data'!$A$4:$A$51,$A30,'Sorting Data'!$C$4:$C$51,D$25,'Sorting Data'!$D$4:$D$51,1000000))</f>
        <v>36002153</v>
      </c>
      <c r="E30" s="10">
        <f>IF(COUNTIFS('Sorting Data'!$A$4:$A$51,$A30,'Sorting Data'!$C$4:$C$51,E$25,'Sorting Data'!$D$4:$D$51,1000000,'Sorting Data'!$E$4:$E$51,"skipped")&gt;0,"skipped",SUMIFS('Sorting Data'!$F$4:$F$51,'Sorting Data'!$A$4:$A$51,$A30,'Sorting Data'!$C$4:$C$51,E$25,'Sorting Data'!$D$4:$D$51,1000000))</f>
        <v>36775940</v>
      </c>
    </row>
    <row r="31" ht="15.75" customHeight="1">
      <c r="A31" s="14" t="s">
        <v>35</v>
      </c>
      <c r="B31" s="10">
        <f>IF(COUNTIFS('Sorting Data'!$A$4:$A$51,$A31,'Sorting Data'!$C$4:$C$51,B$25,'Sorting Data'!$D$4:$D$51,1000000,'Sorting Data'!$E$4:$E$51,"skipped")&gt;0,"skipped",SUMIFS('Sorting Data'!$F$4:$F$51,'Sorting Data'!$A$4:$A$51,$A31,'Sorting Data'!$C$4:$C$51,B$25,'Sorting Data'!$D$4:$D$51,1000000))</f>
        <v>24880331</v>
      </c>
      <c r="C31" s="10">
        <f>IF(COUNTIFS('Sorting Data'!$A$4:$A$51,$A31,'Sorting Data'!$C$4:$C$51,C$25,'Sorting Data'!$D$4:$D$51,1000000,'Sorting Data'!$E$4:$E$51,"skipped")&gt;0,"skipped",SUMIFS('Sorting Data'!$F$4:$F$51,'Sorting Data'!$A$4:$A$51,$A31,'Sorting Data'!$C$4:$C$51,C$25,'Sorting Data'!$D$4:$D$51,1000000))</f>
        <v>25593387</v>
      </c>
      <c r="D31" s="10">
        <f>IF(COUNTIFS('Sorting Data'!$A$4:$A$51,$A31,'Sorting Data'!$C$4:$C$51,D$25,'Sorting Data'!$D$4:$D$51,1000000,'Sorting Data'!$E$4:$E$51,"skipped")&gt;0,"skipped",SUMIFS('Sorting Data'!$F$4:$F$51,'Sorting Data'!$A$4:$A$51,$A31,'Sorting Data'!$C$4:$C$51,D$25,'Sorting Data'!$D$4:$D$51,1000000))</f>
        <v>18582482</v>
      </c>
      <c r="E31" s="10">
        <f>IF(COUNTIFS('Sorting Data'!$A$4:$A$51,$A31,'Sorting Data'!$C$4:$C$51,E$25,'Sorting Data'!$D$4:$D$51,1000000,'Sorting Data'!$E$4:$E$51,"skipped")&gt;0,"skipped",SUMIFS('Sorting Data'!$F$4:$F$51,'Sorting Data'!$A$4:$A$51,$A31,'Sorting Data'!$C$4:$C$51,E$25,'Sorting Data'!$D$4:$D$51,1000000))</f>
        <v>512870978</v>
      </c>
    </row>
    <row r="32" ht="15.75" customHeight="1">
      <c r="A32" s="36"/>
      <c r="B32" s="36"/>
      <c r="C32" s="36"/>
      <c r="D32" s="36"/>
      <c r="E32" s="36"/>
    </row>
    <row r="33" ht="15.75" customHeight="1">
      <c r="A33" s="37" t="s">
        <v>93</v>
      </c>
      <c r="B33" s="36"/>
      <c r="C33" s="36"/>
      <c r="D33" s="36"/>
      <c r="E33" s="36"/>
    </row>
    <row r="34" ht="15.75" customHeight="1">
      <c r="A34" s="20"/>
      <c r="B34" s="20"/>
      <c r="C34" s="20"/>
      <c r="D34" s="20"/>
      <c r="E34" s="20"/>
    </row>
    <row r="35" ht="15.75" customHeight="1">
      <c r="A35" s="7" t="s">
        <v>3</v>
      </c>
      <c r="B35" s="7" t="s">
        <v>20</v>
      </c>
      <c r="C35" s="7" t="s">
        <v>28</v>
      </c>
      <c r="D35" s="7" t="s">
        <v>33</v>
      </c>
      <c r="E35" s="7" t="s">
        <v>36</v>
      </c>
    </row>
    <row r="36" ht="15.75" customHeight="1">
      <c r="A36" s="14" t="s">
        <v>16</v>
      </c>
      <c r="B36" s="10">
        <f>IF(COUNTIFS('Sorting Data'!$A$4:$A$51,$A36,'Sorting Data'!$C$4:$C$51,B$35,'Sorting Data'!$D$4:$D$51,100000000,'Sorting Data'!$E$4:$E$51,"skipped")&gt;0,"skipped",SUMIFS('Sorting Data'!$F$4:$F$51,'Sorting Data'!$A$4:$A$51,$A36,'Sorting Data'!$C$4:$C$51,B$35,'Sorting Data'!$D$4:$D$51,100000000))</f>
        <v>2968822575</v>
      </c>
      <c r="C36" s="10">
        <f>IF(COUNTIFS('Sorting Data'!$A$4:$A$51,$A36,'Sorting Data'!$C$4:$C$51,C$35,'Sorting Data'!$D$4:$D$51,100000000,'Sorting Data'!$E$4:$E$51,"skipped")&gt;0,"skipped",SUMIFS('Sorting Data'!$F$4:$F$51,'Sorting Data'!$A$4:$A$51,$A36,'Sorting Data'!$C$4:$C$51,C$35,'Sorting Data'!$D$4:$D$51,100000000))</f>
        <v>2641001849</v>
      </c>
      <c r="D36" s="10">
        <f>IF(COUNTIFS('Sorting Data'!$A$4:$A$51,$A36,'Sorting Data'!$C$4:$C$51,D$35,'Sorting Data'!$D$4:$D$51,100000000,'Sorting Data'!$E$4:$E$51,"skipped")&gt;0,"skipped",SUMIFS('Sorting Data'!$F$4:$F$51,'Sorting Data'!$A$4:$A$51,$A36,'Sorting Data'!$C$4:$C$51,D$35,'Sorting Data'!$D$4:$D$51,100000000))</f>
        <v>2604863029</v>
      </c>
      <c r="E36" s="10">
        <f>IF(COUNTIFS('Sorting Data'!$A$4:$A$51,$A36,'Sorting Data'!$C$4:$C$51,E$35,'Sorting Data'!$D$4:$D$51,100000000,'Sorting Data'!$E$4:$E$51,"skipped")&gt;0,"skipped",SUMIFS('Sorting Data'!$F$4:$F$51,'Sorting Data'!$A$4:$A$51,$A36,'Sorting Data'!$C$4:$C$51,E$35,'Sorting Data'!$D$4:$D$51,100000000))</f>
        <v>2721581709</v>
      </c>
    </row>
    <row r="37" ht="15.75" customHeight="1">
      <c r="A37" s="14" t="s">
        <v>23</v>
      </c>
      <c r="B37" s="10">
        <f>IF(COUNTIFS('Sorting Data'!$A$4:$A$51,$A37,'Sorting Data'!$C$4:$C$51,B$35,'Sorting Data'!$D$4:$D$51,100000000,'Sorting Data'!$E$4:$E$51,"skipped")&gt;0,"skipped",SUMIFS('Sorting Data'!$F$4:$F$51,'Sorting Data'!$A$4:$A$51,$A37,'Sorting Data'!$C$4:$C$51,B$35,'Sorting Data'!$D$4:$D$51,100000000))</f>
        <v>3104604878</v>
      </c>
      <c r="C37" s="10">
        <f>IF(COUNTIFS('Sorting Data'!$A$4:$A$51,$A37,'Sorting Data'!$C$4:$C$51,C$35,'Sorting Data'!$D$4:$D$51,100000000,'Sorting Data'!$E$4:$E$51,"skipped")&gt;0,"skipped",SUMIFS('Sorting Data'!$F$4:$F$51,'Sorting Data'!$A$4:$A$51,$A37,'Sorting Data'!$C$4:$C$51,C$35,'Sorting Data'!$D$4:$D$51,100000000))</f>
        <v>2311483634</v>
      </c>
      <c r="D37" s="10">
        <f>IF(COUNTIFS('Sorting Data'!$A$4:$A$51,$A37,'Sorting Data'!$C$4:$C$51,D$35,'Sorting Data'!$D$4:$D$51,100000000,'Sorting Data'!$E$4:$E$51,"skipped")&gt;0,"skipped",SUMIFS('Sorting Data'!$F$4:$F$51,'Sorting Data'!$A$4:$A$51,$A37,'Sorting Data'!$C$4:$C$51,D$35,'Sorting Data'!$D$4:$D$51,100000000))</f>
        <v>300000001</v>
      </c>
      <c r="E37" s="10">
        <f>IF(COUNTIFS('Sorting Data'!$A$4:$A$51,$A37,'Sorting Data'!$C$4:$C$51,E$35,'Sorting Data'!$D$4:$D$51,100000000,'Sorting Data'!$E$4:$E$51,"skipped")&gt;0,"skipped",SUMIFS('Sorting Data'!$F$4:$F$51,'Sorting Data'!$A$4:$A$51,$A37,'Sorting Data'!$C$4:$C$51,E$35,'Sorting Data'!$D$4:$D$51,100000000))</f>
        <v>1239307200</v>
      </c>
    </row>
    <row r="38" ht="15.75" customHeight="1">
      <c r="A38" s="14" t="s">
        <v>27</v>
      </c>
      <c r="B38" s="10">
        <f>IF(COUNTIFS('Sorting Data'!$A$4:$A$51,$A38,'Sorting Data'!$C$4:$C$51,B$35,'Sorting Data'!$D$4:$D$51,100000000,'Sorting Data'!$E$4:$E$51,"skipped")&gt;0,"skipped",SUMIFS('Sorting Data'!$F$4:$F$51,'Sorting Data'!$A$4:$A$51,$A38,'Sorting Data'!$C$4:$C$51,B$35,'Sorting Data'!$D$4:$D$51,100000000))</f>
        <v>200000000</v>
      </c>
      <c r="C38" s="10">
        <f>IF(COUNTIFS('Sorting Data'!$A$4:$A$51,$A38,'Sorting Data'!$C$4:$C$51,C$35,'Sorting Data'!$D$4:$D$51,100000000,'Sorting Data'!$E$4:$E$51,"skipped")&gt;0,"skipped",SUMIFS('Sorting Data'!$F$4:$F$51,'Sorting Data'!$A$4:$A$51,$A38,'Sorting Data'!$C$4:$C$51,C$35,'Sorting Data'!$D$4:$D$51,100000000))</f>
        <v>200000000</v>
      </c>
      <c r="D38" s="10">
        <f>IF(COUNTIFS('Sorting Data'!$A$4:$A$51,$A38,'Sorting Data'!$C$4:$C$51,D$35,'Sorting Data'!$D$4:$D$51,100000000,'Sorting Data'!$E$4:$E$51,"skipped")&gt;0,"skipped",SUMIFS('Sorting Data'!$F$4:$F$51,'Sorting Data'!$A$4:$A$51,$A38,'Sorting Data'!$C$4:$C$51,D$35,'Sorting Data'!$D$4:$D$51,100000000))</f>
        <v>200000000</v>
      </c>
      <c r="E38" s="10">
        <f>IF(COUNTIFS('Sorting Data'!$A$4:$A$51,$A38,'Sorting Data'!$C$4:$C$51,E$35,'Sorting Data'!$D$4:$D$51,100000000,'Sorting Data'!$E$4:$E$51,"skipped")&gt;0,"skipped",SUMIFS('Sorting Data'!$F$4:$F$51,'Sorting Data'!$A$4:$A$51,$A38,'Sorting Data'!$C$4:$C$51,E$35,'Sorting Data'!$D$4:$D$51,100000000))</f>
        <v>200000000</v>
      </c>
    </row>
    <row r="39" ht="15.75" customHeight="1">
      <c r="A39" s="14" t="s">
        <v>29</v>
      </c>
      <c r="B39" s="10">
        <f>IF(COUNTIFS('Sorting Data'!$A$4:$A$51,$A39,'Sorting Data'!$C$4:$C$51,B$35,'Sorting Data'!$D$4:$D$51,100000000,'Sorting Data'!$E$4:$E$51,"skipped")&gt;0,"skipped",SUMIFS('Sorting Data'!$F$4:$F$51,'Sorting Data'!$A$4:$A$51,$A39,'Sorting Data'!$C$4:$C$51,B$35,'Sorting Data'!$D$4:$D$51,100000000))</f>
        <v>2532923647</v>
      </c>
      <c r="C39" s="10">
        <f>IF(COUNTIFS('Sorting Data'!$A$4:$A$51,$A39,'Sorting Data'!$C$4:$C$51,C$35,'Sorting Data'!$D$4:$D$51,100000000,'Sorting Data'!$E$4:$E$51,"skipped")&gt;0,"skipped",SUMIFS('Sorting Data'!$F$4:$F$51,'Sorting Data'!$A$4:$A$51,$A39,'Sorting Data'!$C$4:$C$51,C$35,'Sorting Data'!$D$4:$D$51,100000000))</f>
        <v>2303890896</v>
      </c>
      <c r="D39" s="10">
        <f>IF(COUNTIFS('Sorting Data'!$A$4:$A$51,$A39,'Sorting Data'!$C$4:$C$51,D$35,'Sorting Data'!$D$4:$D$51,100000000,'Sorting Data'!$E$4:$E$51,"skipped")&gt;0,"skipped",SUMIFS('Sorting Data'!$F$4:$F$51,'Sorting Data'!$A$4:$A$51,$A39,'Sorting Data'!$C$4:$C$51,D$35,'Sorting Data'!$D$4:$D$51,100000000))</f>
        <v>1364054534</v>
      </c>
      <c r="E39" s="10">
        <f>IF(COUNTIFS('Sorting Data'!$A$4:$A$51,$A39,'Sorting Data'!$C$4:$C$51,E$35,'Sorting Data'!$D$4:$D$51,100000000,'Sorting Data'!$E$4:$E$51,"skipped")&gt;0,"skipped",SUMIFS('Sorting Data'!$F$4:$F$51,'Sorting Data'!$A$4:$A$51,$A39,'Sorting Data'!$C$4:$C$51,E$35,'Sorting Data'!$D$4:$D$51,100000000))</f>
        <v>2532187444</v>
      </c>
    </row>
    <row r="40" ht="15.75" customHeight="1">
      <c r="A40" s="14" t="s">
        <v>32</v>
      </c>
      <c r="B40" s="10">
        <f>IF(COUNTIFS('Sorting Data'!$A$4:$A$51,$A40,'Sorting Data'!$C$4:$C$51,B$35,'Sorting Data'!$D$4:$D$51,100000000,'Sorting Data'!$E$4:$E$51,"skipped")&gt;0,"skipped",SUMIFS('Sorting Data'!$F$4:$F$51,'Sorting Data'!$A$4:$A$51,$A40,'Sorting Data'!$C$4:$C$51,B$35,'Sorting Data'!$D$4:$D$51,100000000))</f>
        <v>5012885387</v>
      </c>
      <c r="C40" s="10">
        <f>IF(COUNTIFS('Sorting Data'!$A$4:$A$51,$A40,'Sorting Data'!$C$4:$C$51,C$35,'Sorting Data'!$D$4:$D$51,100000000,'Sorting Data'!$E$4:$E$51,"skipped")&gt;0,"skipped",SUMIFS('Sorting Data'!$F$4:$F$51,'Sorting Data'!$A$4:$A$51,$A40,'Sorting Data'!$C$4:$C$51,C$35,'Sorting Data'!$D$4:$D$51,100000000))</f>
        <v>5115790973</v>
      </c>
      <c r="D40" s="10">
        <f>IF(COUNTIFS('Sorting Data'!$A$4:$A$51,$A40,'Sorting Data'!$C$4:$C$51,D$35,'Sorting Data'!$D$4:$D$51,100000000,'Sorting Data'!$E$4:$E$51,"skipped")&gt;0,"skipped",SUMIFS('Sorting Data'!$F$4:$F$51,'Sorting Data'!$A$4:$A$51,$A40,'Sorting Data'!$C$4:$C$51,D$35,'Sorting Data'!$D$4:$D$51,100000000))</f>
        <v>4924225375</v>
      </c>
      <c r="E40" s="10">
        <f>IF(COUNTIFS('Sorting Data'!$A$4:$A$51,$A40,'Sorting Data'!$C$4:$C$51,E$35,'Sorting Data'!$D$4:$D$51,100000000,'Sorting Data'!$E$4:$E$51,"skipped")&gt;0,"skipped",SUMIFS('Sorting Data'!$F$4:$F$51,'Sorting Data'!$A$4:$A$51,$A40,'Sorting Data'!$C$4:$C$51,E$35,'Sorting Data'!$D$4:$D$51,100000000))</f>
        <v>5009558141</v>
      </c>
    </row>
    <row r="41" ht="15.75" customHeight="1">
      <c r="A41" s="14" t="s">
        <v>35</v>
      </c>
      <c r="B41" s="10">
        <f>IF(COUNTIFS('Sorting Data'!$A$4:$A$51,$A41,'Sorting Data'!$C$4:$C$51,B$35,'Sorting Data'!$D$4:$D$51,100000000,'Sorting Data'!$E$4:$E$51,"skipped")&gt;0,"skipped",SUMIFS('Sorting Data'!$F$4:$F$51,'Sorting Data'!$A$4:$A$51,$A41,'Sorting Data'!$C$4:$C$51,B$35,'Sorting Data'!$D$4:$D$51,100000000))</f>
        <v>3389431225</v>
      </c>
      <c r="C41" s="10">
        <f>IF(COUNTIFS('Sorting Data'!$A$4:$A$51,$A41,'Sorting Data'!$C$4:$C$51,C$35,'Sorting Data'!$D$4:$D$51,100000000,'Sorting Data'!$E$4:$E$51,"skipped")&gt;0,"skipped",SUMIFS('Sorting Data'!$F$4:$F$51,'Sorting Data'!$A$4:$A$51,$A41,'Sorting Data'!$C$4:$C$51,C$35,'Sorting Data'!$D$4:$D$51,100000000))</f>
        <v>4145189294</v>
      </c>
      <c r="D41" s="10">
        <f>IF(COUNTIFS('Sorting Data'!$A$4:$A$51,$A41,'Sorting Data'!$C$4:$C$51,D$35,'Sorting Data'!$D$4:$D$51,100000000,'Sorting Data'!$E$4:$E$51,"skipped")&gt;0,"skipped",SUMIFS('Sorting Data'!$F$4:$F$51,'Sorting Data'!$A$4:$A$51,$A41,'Sorting Data'!$C$4:$C$51,D$35,'Sorting Data'!$D$4:$D$51,100000000))</f>
        <v>2522736699</v>
      </c>
      <c r="E41" s="10" t="str">
        <f>IF(COUNTIFS('Sorting Data'!$A$4:$A$51,$A41,'Sorting Data'!$C$4:$C$51,E$35,'Sorting Data'!$D$4:$D$51,100000000,'Sorting Data'!$E$4:$E$51,"skipped")&gt;0,"skipped",SUMIFS('Sorting Data'!$F$4:$F$51,'Sorting Data'!$A$4:$A$51,$A41,'Sorting Data'!$C$4:$C$51,E$35,'Sorting Data'!$D$4:$D$51,100000000))</f>
        <v>skipped</v>
      </c>
    </row>
    <row r="42" ht="15.75" customHeight="1">
      <c r="A42" s="36"/>
      <c r="B42" s="36"/>
      <c r="C42" s="36"/>
      <c r="D42" s="36"/>
      <c r="E42" s="36"/>
    </row>
    <row r="43" ht="15.75" customHeight="1">
      <c r="A43" s="37" t="s">
        <v>94</v>
      </c>
      <c r="B43" s="36"/>
      <c r="C43" s="36"/>
      <c r="D43" s="36"/>
      <c r="E43" s="36"/>
    </row>
    <row r="44" ht="15.75" customHeight="1">
      <c r="A44" s="20"/>
      <c r="B44" s="20"/>
      <c r="C44" s="20"/>
      <c r="D44" s="20"/>
      <c r="E44" s="20"/>
    </row>
    <row r="45" ht="15.75" customHeight="1">
      <c r="A45" s="7" t="s">
        <v>3</v>
      </c>
      <c r="B45" s="7" t="s">
        <v>20</v>
      </c>
      <c r="C45" s="7" t="s">
        <v>28</v>
      </c>
      <c r="D45" s="7" t="s">
        <v>33</v>
      </c>
      <c r="E45" s="7" t="s">
        <v>36</v>
      </c>
    </row>
    <row r="46" ht="15.75" customHeight="1">
      <c r="A46" s="14" t="s">
        <v>16</v>
      </c>
      <c r="B46" s="38">
        <f t="shared" ref="B46:E46" si="1">IF(ISNUMBER(B16),B16/B6,"skipped")</f>
        <v>133.259129</v>
      </c>
      <c r="C46" s="38">
        <f t="shared" si="1"/>
        <v>117.1352907</v>
      </c>
      <c r="D46" s="38">
        <f t="shared" si="1"/>
        <v>117.8348432</v>
      </c>
      <c r="E46" s="38">
        <f t="shared" si="1"/>
        <v>105.5958405</v>
      </c>
    </row>
    <row r="47" ht="15.75" customHeight="1">
      <c r="A47" s="14" t="s">
        <v>23</v>
      </c>
      <c r="B47" s="38">
        <f t="shared" ref="B47:E47" si="2">IF(ISNUMBER(B17),B17/B7,"skipped")</f>
        <v>140.8419301</v>
      </c>
      <c r="C47" s="38">
        <f t="shared" si="2"/>
        <v>135.2559633</v>
      </c>
      <c r="D47" s="38">
        <f t="shared" si="2"/>
        <v>89.81516588</v>
      </c>
      <c r="E47" s="38">
        <f t="shared" si="2"/>
        <v>99.77456346</v>
      </c>
    </row>
    <row r="48" ht="15.75" customHeight="1">
      <c r="A48" s="14" t="s">
        <v>27</v>
      </c>
      <c r="B48" s="38">
        <f t="shared" ref="B48:E48" si="3">IF(ISNUMBER(B18),B18/B8,"skipped")</f>
        <v>248.2215422</v>
      </c>
      <c r="C48" s="38">
        <f t="shared" si="3"/>
        <v>105.8456244</v>
      </c>
      <c r="D48" s="38">
        <f t="shared" si="3"/>
        <v>90.15126904</v>
      </c>
      <c r="E48" s="38">
        <f t="shared" si="3"/>
        <v>65.35294118</v>
      </c>
    </row>
    <row r="49" ht="15.75" customHeight="1">
      <c r="A49" s="14" t="s">
        <v>29</v>
      </c>
      <c r="B49" s="38">
        <f t="shared" ref="B49:E49" si="4">IF(ISNUMBER(B19),B19/B9,"skipped")</f>
        <v>131.375</v>
      </c>
      <c r="C49" s="38">
        <f t="shared" si="4"/>
        <v>130.2323353</v>
      </c>
      <c r="D49" s="38">
        <f t="shared" si="4"/>
        <v>122.9155744</v>
      </c>
      <c r="E49" s="38">
        <f t="shared" si="4"/>
        <v>108.6598384</v>
      </c>
    </row>
    <row r="50" ht="15.75" customHeight="1">
      <c r="A50" s="14" t="s">
        <v>32</v>
      </c>
      <c r="B50" s="38">
        <f t="shared" ref="B50:E50" si="5">IF(ISNUMBER(B20),B20/B10,"skipped")</f>
        <v>243.3916814</v>
      </c>
      <c r="C50" s="38">
        <f t="shared" si="5"/>
        <v>114.7315561</v>
      </c>
      <c r="D50" s="38">
        <f t="shared" si="5"/>
        <v>118.1118591</v>
      </c>
      <c r="E50" s="38">
        <f t="shared" si="5"/>
        <v>181.4807489</v>
      </c>
    </row>
    <row r="51" ht="15.75" customHeight="1">
      <c r="A51" s="14" t="s">
        <v>35</v>
      </c>
      <c r="B51" s="38">
        <f t="shared" ref="B51:E51" si="6">IF(ISNUMBER(B21),B21/B11,"skipped")</f>
        <v>130.3736511</v>
      </c>
      <c r="C51" s="38">
        <f t="shared" si="6"/>
        <v>136.1758285</v>
      </c>
      <c r="D51" s="38">
        <f t="shared" si="6"/>
        <v>117.2761122</v>
      </c>
      <c r="E51" s="38" t="str">
        <f t="shared" si="6"/>
        <v>skipped</v>
      </c>
    </row>
    <row r="52" ht="15.75" customHeight="1">
      <c r="A52" s="37" t="s">
        <v>95</v>
      </c>
      <c r="B52" s="39">
        <f>100*LOG(100000000,2)/LOG(1000000,2)</f>
        <v>133.3333333</v>
      </c>
      <c r="C52" s="36"/>
      <c r="D52" s="36"/>
      <c r="E52" s="36"/>
    </row>
    <row r="53" ht="15.75" customHeight="1">
      <c r="A53" s="36"/>
      <c r="B53" s="36"/>
      <c r="C53" s="36"/>
      <c r="D53" s="36"/>
      <c r="E53" s="36"/>
    </row>
    <row r="54" ht="15.75" customHeight="1">
      <c r="A54" s="37" t="s">
        <v>96</v>
      </c>
      <c r="B54" s="36"/>
      <c r="C54" s="36"/>
      <c r="D54" s="36"/>
      <c r="E54" s="36"/>
    </row>
    <row r="55" ht="15.75" customHeight="1">
      <c r="A55" s="20"/>
      <c r="B55" s="20"/>
      <c r="C55" s="20"/>
      <c r="D55" s="20"/>
      <c r="E55" s="20"/>
    </row>
    <row r="56" ht="15.75" customHeight="1">
      <c r="A56" s="7" t="s">
        <v>97</v>
      </c>
      <c r="B56" s="7" t="s">
        <v>20</v>
      </c>
      <c r="C56" s="7" t="s">
        <v>28</v>
      </c>
      <c r="D56" s="7" t="s">
        <v>33</v>
      </c>
      <c r="E56" s="7" t="s">
        <v>36</v>
      </c>
    </row>
    <row r="57" ht="15.75" customHeight="1">
      <c r="A57" s="14" t="s">
        <v>98</v>
      </c>
      <c r="B57" s="14" t="str">
        <f t="shared" ref="B57:E57" si="7">INDEX($A$6:$A$11,MATCH(MIN(B6:B11),B6:B11,0))</f>
        <v>TwinArray Sort</v>
      </c>
      <c r="C57" s="14" t="str">
        <f t="shared" si="7"/>
        <v>TwinArray Sort</v>
      </c>
      <c r="D57" s="14" t="str">
        <f t="shared" si="7"/>
        <v>PDQSort</v>
      </c>
      <c r="E57" s="14" t="str">
        <f t="shared" si="7"/>
        <v>TwinArray Sort</v>
      </c>
    </row>
    <row r="58" ht="15.75" customHeight="1">
      <c r="A58" s="14" t="s">
        <v>99</v>
      </c>
      <c r="B58" s="14" t="str">
        <f t="shared" ref="B58:E58" si="8">INDEX($A$16:$A$21,MATCH(MIN(B16:B21),B16:B21,0))</f>
        <v>TwinArray Sort</v>
      </c>
      <c r="C58" s="14" t="str">
        <f t="shared" si="8"/>
        <v>TwinArray Sort</v>
      </c>
      <c r="D58" s="14" t="str">
        <f t="shared" si="8"/>
        <v>PDQSort</v>
      </c>
      <c r="E58" s="14" t="str">
        <f t="shared" si="8"/>
        <v>TwinArray Sort</v>
      </c>
    </row>
    <row r="59" ht="15.75" customHeight="1">
      <c r="A59" s="16" t="s">
        <v>100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3" width="14.0"/>
    <col customWidth="1" min="4" max="26" width="8.71"/>
  </cols>
  <sheetData>
    <row r="1">
      <c r="A1" s="3" t="s">
        <v>55</v>
      </c>
    </row>
    <row r="3">
      <c r="A3" s="17" t="s">
        <v>3</v>
      </c>
      <c r="B3" s="17" t="s">
        <v>56</v>
      </c>
      <c r="C3" s="17" t="s">
        <v>57</v>
      </c>
    </row>
    <row r="4">
      <c r="A4" s="9" t="s">
        <v>16</v>
      </c>
      <c r="B4" s="18">
        <f>'Sorting Summary'!B6</f>
        <v>73.94</v>
      </c>
      <c r="C4" s="18">
        <f>'Sorting Summary'!B16</f>
        <v>9853.18</v>
      </c>
    </row>
    <row r="5">
      <c r="A5" s="9" t="s">
        <v>23</v>
      </c>
      <c r="B5" s="18">
        <f>'Sorting Summary'!B7</f>
        <v>72.12</v>
      </c>
      <c r="C5" s="18">
        <f>'Sorting Summary'!B17</f>
        <v>10157.52</v>
      </c>
    </row>
    <row r="6">
      <c r="A6" s="9" t="s">
        <v>27</v>
      </c>
      <c r="B6" s="18">
        <f>'Sorting Summary'!B8</f>
        <v>16.34</v>
      </c>
      <c r="C6" s="18">
        <f>'Sorting Summary'!B18</f>
        <v>4055.94</v>
      </c>
    </row>
    <row r="7">
      <c r="A7" s="9" t="s">
        <v>29</v>
      </c>
      <c r="B7" s="18">
        <f>'Sorting Summary'!B9</f>
        <v>96.32</v>
      </c>
      <c r="C7" s="18">
        <f>'Sorting Summary'!B19</f>
        <v>12654.04</v>
      </c>
    </row>
    <row r="8">
      <c r="A8" s="9" t="s">
        <v>32</v>
      </c>
      <c r="B8" s="18">
        <f>'Sorting Summary'!B10</f>
        <v>118.77</v>
      </c>
      <c r="C8" s="18">
        <f>'Sorting Summary'!B20</f>
        <v>28907.63</v>
      </c>
    </row>
    <row r="9">
      <c r="A9" s="9" t="s">
        <v>35</v>
      </c>
      <c r="B9" s="18">
        <f>'Sorting Summary'!B11</f>
        <v>66.72</v>
      </c>
      <c r="C9" s="18">
        <f>'Sorting Summary'!B21</f>
        <v>8698.53</v>
      </c>
    </row>
    <row r="11">
      <c r="A11" s="16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3.0"/>
    <col customWidth="1" min="3" max="4" width="14.0"/>
    <col customWidth="1" min="5" max="5" width="16.0"/>
    <col customWidth="1" min="6" max="7" width="17.0"/>
    <col customWidth="1" min="8" max="8" width="9.0"/>
    <col customWidth="1" min="9" max="26" width="8.71"/>
  </cols>
  <sheetData>
    <row r="1">
      <c r="A1" s="3" t="s">
        <v>61</v>
      </c>
    </row>
    <row r="3">
      <c r="A3" s="17" t="s">
        <v>3</v>
      </c>
      <c r="B3" s="17" t="s">
        <v>9</v>
      </c>
      <c r="C3" s="17" t="s">
        <v>62</v>
      </c>
      <c r="D3" s="17" t="s">
        <v>63</v>
      </c>
      <c r="E3" s="17" t="s">
        <v>64</v>
      </c>
      <c r="F3" s="17" t="s">
        <v>65</v>
      </c>
      <c r="G3" s="17" t="s">
        <v>66</v>
      </c>
      <c r="H3" s="17" t="s">
        <v>67</v>
      </c>
    </row>
    <row r="4">
      <c r="A4" s="9" t="s">
        <v>68</v>
      </c>
      <c r="B4" s="21">
        <v>1000000.0</v>
      </c>
      <c r="C4" s="22">
        <v>19.0</v>
      </c>
      <c r="D4" s="22">
        <v>23.0</v>
      </c>
      <c r="E4" s="22">
        <v>37.4</v>
      </c>
      <c r="F4" s="23">
        <v>40.0</v>
      </c>
      <c r="G4" s="24">
        <v>0.0</v>
      </c>
      <c r="H4" s="23">
        <v>646.0</v>
      </c>
    </row>
    <row r="5">
      <c r="A5" s="9" t="s">
        <v>69</v>
      </c>
      <c r="B5" s="21">
        <v>1000000.0</v>
      </c>
      <c r="C5" s="22">
        <v>29.2</v>
      </c>
      <c r="D5" s="22">
        <v>35.0</v>
      </c>
      <c r="E5" s="22">
        <v>53.8</v>
      </c>
      <c r="F5" s="23">
        <v>59.0</v>
      </c>
      <c r="G5" s="24">
        <v>0.0</v>
      </c>
      <c r="H5" s="23">
        <v>646.0</v>
      </c>
    </row>
    <row r="6">
      <c r="A6" s="9" t="s">
        <v>70</v>
      </c>
      <c r="B6" s="21">
        <v>1000000.0</v>
      </c>
      <c r="C6" s="22">
        <v>29.2</v>
      </c>
      <c r="D6" s="22">
        <v>42.0</v>
      </c>
      <c r="E6" s="22">
        <v>36.8</v>
      </c>
      <c r="F6" s="23">
        <v>60.0</v>
      </c>
      <c r="G6" s="24">
        <v>0.99</v>
      </c>
      <c r="H6" s="23">
        <v>646.0</v>
      </c>
    </row>
    <row r="7">
      <c r="A7" s="9" t="s">
        <v>68</v>
      </c>
      <c r="B7" s="21">
        <v>1.0E8</v>
      </c>
      <c r="C7" s="22">
        <v>29.3</v>
      </c>
      <c r="D7" s="22">
        <v>35.0</v>
      </c>
      <c r="E7" s="22">
        <v>50.8</v>
      </c>
      <c r="F7" s="23">
        <v>54.0</v>
      </c>
      <c r="G7" s="24">
        <v>0.0</v>
      </c>
      <c r="H7" s="23">
        <v>638.0</v>
      </c>
    </row>
    <row r="8">
      <c r="A8" s="9" t="s">
        <v>69</v>
      </c>
      <c r="B8" s="21">
        <v>1.0E8</v>
      </c>
      <c r="C8" s="22">
        <v>49.1</v>
      </c>
      <c r="D8" s="22">
        <v>74.0</v>
      </c>
      <c r="E8" s="22">
        <v>73.4</v>
      </c>
      <c r="F8" s="23">
        <v>78.0</v>
      </c>
      <c r="G8" s="24">
        <v>0.0</v>
      </c>
      <c r="H8" s="23">
        <v>638.0</v>
      </c>
    </row>
    <row r="9">
      <c r="A9" s="9" t="s">
        <v>70</v>
      </c>
      <c r="B9" s="21">
        <v>1.0E8</v>
      </c>
      <c r="C9" s="22">
        <v>38.2</v>
      </c>
      <c r="D9" s="22">
        <v>59.0</v>
      </c>
      <c r="E9" s="22">
        <v>47.8</v>
      </c>
      <c r="F9" s="23">
        <v>75.0</v>
      </c>
      <c r="G9" s="24">
        <v>98.9</v>
      </c>
      <c r="H9" s="23">
        <v>638.0</v>
      </c>
    </row>
    <row r="11">
      <c r="A11" s="16" t="s">
        <v>71</v>
      </c>
    </row>
    <row r="13">
      <c r="A13" s="17" t="s">
        <v>3</v>
      </c>
      <c r="B13" s="17" t="s">
        <v>72</v>
      </c>
      <c r="C13" s="17" t="s">
        <v>73</v>
      </c>
      <c r="D13" s="17" t="s">
        <v>74</v>
      </c>
      <c r="E13" s="17" t="s">
        <v>75</v>
      </c>
      <c r="F13" s="17" t="s">
        <v>76</v>
      </c>
      <c r="G13" s="17" t="s">
        <v>77</v>
      </c>
    </row>
    <row r="14">
      <c r="A14" s="9" t="str">
        <f t="shared" ref="A14:A16" si="1">A4</f>
        <v>Binary search</v>
      </c>
      <c r="B14" s="22">
        <f t="shared" ref="B14:B16" si="2">C4</f>
        <v>19</v>
      </c>
      <c r="C14" s="22">
        <f t="shared" ref="C14:C16" si="3">C7</f>
        <v>29.3</v>
      </c>
      <c r="D14" s="25">
        <f t="shared" ref="D14:D16" si="4">C14/B14</f>
        <v>1.542105263</v>
      </c>
      <c r="E14" s="22">
        <f t="shared" ref="E14:E16" si="5">E4</f>
        <v>37.4</v>
      </c>
      <c r="F14" s="22">
        <f t="shared" ref="F14:F16" si="6">E7</f>
        <v>50.8</v>
      </c>
      <c r="G14" s="26">
        <f t="shared" ref="G14:G16" si="7">F14-E14</f>
        <v>13.4</v>
      </c>
    </row>
    <row r="15">
      <c r="A15" s="9" t="str">
        <f t="shared" si="1"/>
        <v>Exponential search</v>
      </c>
      <c r="B15" s="22">
        <f t="shared" si="2"/>
        <v>29.2</v>
      </c>
      <c r="C15" s="22">
        <f t="shared" si="3"/>
        <v>49.1</v>
      </c>
      <c r="D15" s="25">
        <f t="shared" si="4"/>
        <v>1.681506849</v>
      </c>
      <c r="E15" s="22">
        <f t="shared" si="5"/>
        <v>53.8</v>
      </c>
      <c r="F15" s="22">
        <f t="shared" si="6"/>
        <v>73.4</v>
      </c>
      <c r="G15" s="26">
        <f t="shared" si="7"/>
        <v>19.6</v>
      </c>
    </row>
    <row r="16">
      <c r="A16" s="9" t="str">
        <f t="shared" si="1"/>
        <v>M-way tree (M=10)</v>
      </c>
      <c r="B16" s="22">
        <f t="shared" si="2"/>
        <v>29.2</v>
      </c>
      <c r="C16" s="22">
        <f t="shared" si="3"/>
        <v>38.2</v>
      </c>
      <c r="D16" s="25">
        <f t="shared" si="4"/>
        <v>1.308219178</v>
      </c>
      <c r="E16" s="22">
        <f t="shared" si="5"/>
        <v>36.8</v>
      </c>
      <c r="F16" s="22">
        <f t="shared" si="6"/>
        <v>47.8</v>
      </c>
      <c r="G16" s="26">
        <f t="shared" si="7"/>
        <v>11</v>
      </c>
    </row>
    <row r="17">
      <c r="A17" s="16" t="s">
        <v>78</v>
      </c>
      <c r="D17" s="27">
        <f>LOG(100000000,2)-LOG(1000000,2)</f>
        <v>6.64385619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15.0"/>
    <col customWidth="1" min="4" max="4" width="13.0"/>
    <col customWidth="1" min="5" max="6" width="14.0"/>
    <col customWidth="1" min="7" max="7" width="16.0"/>
    <col customWidth="1" min="8" max="26" width="8.71"/>
  </cols>
  <sheetData>
    <row r="1">
      <c r="A1" s="3" t="s">
        <v>79</v>
      </c>
    </row>
    <row r="3">
      <c r="A3" s="5" t="s">
        <v>80</v>
      </c>
      <c r="B3" s="5" t="s">
        <v>81</v>
      </c>
      <c r="C3" s="5" t="s">
        <v>82</v>
      </c>
      <c r="D3" s="5" t="s">
        <v>83</v>
      </c>
      <c r="E3" s="5" t="s">
        <v>84</v>
      </c>
      <c r="F3" s="5" t="s">
        <v>85</v>
      </c>
      <c r="G3" s="5" t="s">
        <v>86</v>
      </c>
    </row>
    <row r="4">
      <c r="A4" s="28">
        <v>1.0</v>
      </c>
      <c r="B4" s="29">
        <v>94.01</v>
      </c>
      <c r="C4" s="29">
        <v>12477.39</v>
      </c>
      <c r="D4" s="30">
        <f t="shared" ref="D4:D9" si="1">$B$4/B4</f>
        <v>1</v>
      </c>
      <c r="E4" s="30">
        <f t="shared" ref="E4:E9" si="2">$C$4/C4</f>
        <v>1</v>
      </c>
      <c r="F4" s="31">
        <f t="shared" ref="F4:F9" si="3">A4</f>
        <v>1</v>
      </c>
      <c r="G4" s="32">
        <f t="shared" ref="G4:G9" si="4">E4/A4</f>
        <v>1</v>
      </c>
    </row>
    <row r="5">
      <c r="A5" s="28">
        <v>2.0</v>
      </c>
      <c r="B5" s="29">
        <v>50.01</v>
      </c>
      <c r="C5" s="29">
        <v>6482.86</v>
      </c>
      <c r="D5" s="30">
        <f t="shared" si="1"/>
        <v>1.879824035</v>
      </c>
      <c r="E5" s="30">
        <f t="shared" si="2"/>
        <v>1.924673678</v>
      </c>
      <c r="F5" s="31">
        <f t="shared" si="3"/>
        <v>2</v>
      </c>
      <c r="G5" s="32">
        <f t="shared" si="4"/>
        <v>0.962336839</v>
      </c>
    </row>
    <row r="6">
      <c r="A6" s="28">
        <v>4.0</v>
      </c>
      <c r="B6" s="29">
        <v>38.84</v>
      </c>
      <c r="C6" s="29">
        <v>4519.18</v>
      </c>
      <c r="D6" s="30">
        <f t="shared" si="1"/>
        <v>2.420442842</v>
      </c>
      <c r="E6" s="30">
        <f t="shared" si="2"/>
        <v>2.7609854</v>
      </c>
      <c r="F6" s="31">
        <f t="shared" si="3"/>
        <v>4</v>
      </c>
      <c r="G6" s="32">
        <f t="shared" si="4"/>
        <v>0.69024635</v>
      </c>
    </row>
    <row r="7">
      <c r="A7" s="28">
        <v>8.0</v>
      </c>
      <c r="B7" s="29">
        <v>25.94</v>
      </c>
      <c r="C7" s="29">
        <v>3023.86</v>
      </c>
      <c r="D7" s="30">
        <f t="shared" si="1"/>
        <v>3.624132614</v>
      </c>
      <c r="E7" s="30">
        <f t="shared" si="2"/>
        <v>4.126312065</v>
      </c>
      <c r="F7" s="31">
        <f t="shared" si="3"/>
        <v>8</v>
      </c>
      <c r="G7" s="32">
        <f t="shared" si="4"/>
        <v>0.5157890081</v>
      </c>
    </row>
    <row r="8">
      <c r="A8" s="28">
        <v>16.0</v>
      </c>
      <c r="B8" s="29">
        <v>22.71</v>
      </c>
      <c r="C8" s="29">
        <v>2296.24</v>
      </c>
      <c r="D8" s="30">
        <f t="shared" si="1"/>
        <v>4.139586085</v>
      </c>
      <c r="E8" s="30">
        <f t="shared" si="2"/>
        <v>5.433835313</v>
      </c>
      <c r="F8" s="31">
        <f t="shared" si="3"/>
        <v>16</v>
      </c>
      <c r="G8" s="32">
        <f t="shared" si="4"/>
        <v>0.3396147071</v>
      </c>
    </row>
    <row r="9">
      <c r="A9" s="28">
        <v>20.0</v>
      </c>
      <c r="B9" s="29">
        <v>22.16</v>
      </c>
      <c r="C9" s="29">
        <v>2140.63</v>
      </c>
      <c r="D9" s="30">
        <f t="shared" si="1"/>
        <v>4.24232852</v>
      </c>
      <c r="E9" s="30">
        <f t="shared" si="2"/>
        <v>5.828840108</v>
      </c>
      <c r="F9" s="31">
        <f t="shared" si="3"/>
        <v>20</v>
      </c>
      <c r="G9" s="32">
        <f t="shared" si="4"/>
        <v>0.2914420054</v>
      </c>
    </row>
    <row r="11">
      <c r="A11" s="19" t="s">
        <v>87</v>
      </c>
    </row>
    <row r="12">
      <c r="A12" s="33" t="s">
        <v>88</v>
      </c>
      <c r="B12" s="34">
        <f>(1/E9-1/A9)/(1-1/A9)</f>
        <v>0.1279586516</v>
      </c>
    </row>
    <row r="13">
      <c r="A13" s="33" t="s">
        <v>89</v>
      </c>
      <c r="B13" s="35">
        <f>1/B12</f>
        <v>7.815024521</v>
      </c>
    </row>
    <row r="15">
      <c r="A15" s="16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